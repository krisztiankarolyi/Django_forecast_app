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llamVizsga\venv\AllamVizsga\static\images\"/>
    </mc:Choice>
  </mc:AlternateContent>
  <xr:revisionPtr revIDLastSave="0" documentId="13_ncr:1_{FB6A470E-51B8-49A3-A291-B67BDAA82D4E}" xr6:coauthVersionLast="47" xr6:coauthVersionMax="47" xr10:uidLastSave="{00000000-0000-0000-0000-000000000000}"/>
  <bookViews>
    <workbookView xWindow="28680" yWindow="-120" windowWidth="29040" windowHeight="15840" tabRatio="741" activeTab="6" xr2:uid="{00000000-000D-0000-FFFF-FFFF00000000}"/>
  </bookViews>
  <sheets>
    <sheet name="arfolyamok" sheetId="2" r:id="rId1"/>
    <sheet name="form" sheetId="1" r:id="rId2"/>
    <sheet name="tranzakciok" sheetId="3" r:id="rId3"/>
    <sheet name="osszesito" sheetId="5" r:id="rId4"/>
    <sheet name="keszlet" sheetId="4" r:id="rId5"/>
    <sheet name="EUR naplo" sheetId="7" r:id="rId6"/>
    <sheet name="előrejelzés" sheetId="11" r:id="rId7"/>
    <sheet name="adatok" sheetId="9" r:id="rId8"/>
    <sheet name="Számok" sheetId="10" r:id="rId9"/>
    <sheet name="Vétel előrejelzés" sheetId="13" r:id="rId10"/>
    <sheet name="Eladás előrejelzés" sheetId="12" r:id="rId11"/>
  </sheets>
  <externalReferences>
    <externalReference r:id="rId12"/>
  </externalReferences>
  <definedNames>
    <definedName name="solver_adj" localSheetId="6" hidden="1">előrejelzés!$D$6:$F$6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előrejelzés!$D$6:$F$6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előrejelzés!$I$5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3" l="1"/>
  <c r="H25" i="13" s="1"/>
  <c r="I13" i="13"/>
  <c r="H11" i="13" s="1"/>
  <c r="I25" i="12"/>
  <c r="H22" i="12" s="1"/>
  <c r="I13" i="12"/>
  <c r="H11" i="12" s="1"/>
  <c r="C21" i="11"/>
  <c r="F21" i="11"/>
  <c r="G21" i="11" s="1"/>
  <c r="H21" i="11" s="1"/>
  <c r="K14" i="7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M25" i="7" s="1"/>
  <c r="K2" i="7"/>
  <c r="K3" i="7" s="1"/>
  <c r="K4" i="7" s="1"/>
  <c r="K5" i="7" s="1"/>
  <c r="K6" i="7" s="1"/>
  <c r="K7" i="7" s="1"/>
  <c r="K8" i="7" s="1"/>
  <c r="K9" i="7" s="1"/>
  <c r="K10" i="7" s="1"/>
  <c r="K11" i="7" s="1"/>
  <c r="K12" i="7" s="1"/>
  <c r="K13" i="7" s="1"/>
  <c r="M13" i="7" s="1"/>
  <c r="K50" i="7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L61" i="7" s="1"/>
  <c r="K38" i="7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L49" i="7" s="1"/>
  <c r="K26" i="7"/>
  <c r="M26" i="7" s="1"/>
  <c r="B1" i="5"/>
  <c r="A6" i="5"/>
  <c r="A5" i="5"/>
  <c r="A4" i="5"/>
  <c r="A3" i="5"/>
  <c r="C6" i="2"/>
  <c r="B6" i="2"/>
  <c r="H4" i="12" l="1"/>
  <c r="H2" i="13"/>
  <c r="K27" i="7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L37" i="7" s="1"/>
  <c r="H9" i="12"/>
  <c r="H4" i="13"/>
  <c r="H8" i="13"/>
  <c r="G20" i="13" s="1"/>
  <c r="H16" i="12"/>
  <c r="G16" i="12" s="1"/>
  <c r="H9" i="13"/>
  <c r="H24" i="12"/>
  <c r="H14" i="13"/>
  <c r="H18" i="12"/>
  <c r="H25" i="12"/>
  <c r="H20" i="13"/>
  <c r="H22" i="13"/>
  <c r="L58" i="7"/>
  <c r="L54" i="7"/>
  <c r="L50" i="7"/>
  <c r="L46" i="7"/>
  <c r="L42" i="7"/>
  <c r="L38" i="7"/>
  <c r="L34" i="7"/>
  <c r="L30" i="7"/>
  <c r="L25" i="7"/>
  <c r="L21" i="7"/>
  <c r="L17" i="7"/>
  <c r="L13" i="7"/>
  <c r="L9" i="7"/>
  <c r="L5" i="7"/>
  <c r="M2" i="7"/>
  <c r="M21" i="7"/>
  <c r="M17" i="7"/>
  <c r="M9" i="7"/>
  <c r="M5" i="7"/>
  <c r="M61" i="7"/>
  <c r="M57" i="7"/>
  <c r="M53" i="7"/>
  <c r="M49" i="7"/>
  <c r="M45" i="7"/>
  <c r="M41" i="7"/>
  <c r="M37" i="7"/>
  <c r="M33" i="7"/>
  <c r="L2" i="7"/>
  <c r="L57" i="7"/>
  <c r="L53" i="7"/>
  <c r="L45" i="7"/>
  <c r="L41" i="7"/>
  <c r="L33" i="7"/>
  <c r="L28" i="7"/>
  <c r="L24" i="7"/>
  <c r="L20" i="7"/>
  <c r="L16" i="7"/>
  <c r="L12" i="7"/>
  <c r="L8" i="7"/>
  <c r="L4" i="7"/>
  <c r="M28" i="7"/>
  <c r="M24" i="7"/>
  <c r="M20" i="7"/>
  <c r="M16" i="7"/>
  <c r="M12" i="7"/>
  <c r="M8" i="7"/>
  <c r="M4" i="7"/>
  <c r="M60" i="7"/>
  <c r="M56" i="7"/>
  <c r="M52" i="7"/>
  <c r="M48" i="7"/>
  <c r="M44" i="7"/>
  <c r="M40" i="7"/>
  <c r="M36" i="7"/>
  <c r="M32" i="7"/>
  <c r="H5" i="12"/>
  <c r="H10" i="12"/>
  <c r="G22" i="12" s="1"/>
  <c r="L60" i="7"/>
  <c r="L56" i="7"/>
  <c r="L52" i="7"/>
  <c r="L48" i="7"/>
  <c r="L44" i="7"/>
  <c r="L40" i="7"/>
  <c r="L36" i="7"/>
  <c r="L32" i="7"/>
  <c r="L27" i="7"/>
  <c r="L23" i="7"/>
  <c r="L19" i="7"/>
  <c r="L15" i="7"/>
  <c r="L11" i="7"/>
  <c r="L7" i="7"/>
  <c r="L3" i="7"/>
  <c r="M27" i="7"/>
  <c r="M23" i="7"/>
  <c r="M19" i="7"/>
  <c r="M15" i="7"/>
  <c r="M11" i="7"/>
  <c r="M7" i="7"/>
  <c r="M3" i="7"/>
  <c r="M59" i="7"/>
  <c r="M55" i="7"/>
  <c r="M51" i="7"/>
  <c r="M47" i="7"/>
  <c r="M43" i="7"/>
  <c r="M39" i="7"/>
  <c r="M35" i="7"/>
  <c r="M31" i="7"/>
  <c r="H6" i="12"/>
  <c r="G18" i="12" s="1"/>
  <c r="H12" i="12"/>
  <c r="G24" i="12" s="1"/>
  <c r="L59" i="7"/>
  <c r="L55" i="7"/>
  <c r="L51" i="7"/>
  <c r="L47" i="7"/>
  <c r="L43" i="7"/>
  <c r="L39" i="7"/>
  <c r="L35" i="7"/>
  <c r="L31" i="7"/>
  <c r="L26" i="7"/>
  <c r="L22" i="7"/>
  <c r="L18" i="7"/>
  <c r="L14" i="7"/>
  <c r="L10" i="7"/>
  <c r="L6" i="7"/>
  <c r="L29" i="7"/>
  <c r="M22" i="7"/>
  <c r="M18" i="7"/>
  <c r="M14" i="7"/>
  <c r="M10" i="7"/>
  <c r="M6" i="7"/>
  <c r="M29" i="7"/>
  <c r="M58" i="7"/>
  <c r="M54" i="7"/>
  <c r="M50" i="7"/>
  <c r="M46" i="7"/>
  <c r="M42" i="7"/>
  <c r="M38" i="7"/>
  <c r="M34" i="7"/>
  <c r="M30" i="7"/>
  <c r="H2" i="12"/>
  <c r="H8" i="12"/>
  <c r="H13" i="12"/>
  <c r="G25" i="12" s="1"/>
  <c r="H20" i="12"/>
  <c r="D21" i="11"/>
  <c r="H14" i="12"/>
  <c r="G14" i="12" s="1"/>
  <c r="H5" i="13"/>
  <c r="H10" i="13"/>
  <c r="G22" i="13" s="1"/>
  <c r="H16" i="13"/>
  <c r="G16" i="13" s="1"/>
  <c r="H24" i="13"/>
  <c r="H6" i="13"/>
  <c r="H12" i="13"/>
  <c r="H18" i="13"/>
  <c r="G14" i="13"/>
  <c r="H13" i="13"/>
  <c r="G25" i="13" s="1"/>
  <c r="E25" i="13"/>
  <c r="H15" i="13"/>
  <c r="H17" i="13"/>
  <c r="G17" i="13" s="1"/>
  <c r="H19" i="13"/>
  <c r="H21" i="13"/>
  <c r="G21" i="13" s="1"/>
  <c r="H23" i="13"/>
  <c r="G23" i="13" s="1"/>
  <c r="H3" i="13"/>
  <c r="H7" i="13"/>
  <c r="E25" i="12"/>
  <c r="H15" i="12"/>
  <c r="H17" i="12"/>
  <c r="G17" i="12" s="1"/>
  <c r="H19" i="12"/>
  <c r="H21" i="12"/>
  <c r="G21" i="12" s="1"/>
  <c r="H23" i="12"/>
  <c r="G23" i="12" s="1"/>
  <c r="H3" i="12"/>
  <c r="H7" i="12"/>
  <c r="E21" i="11"/>
  <c r="B4" i="5"/>
  <c r="B7" i="5"/>
  <c r="D7" i="5"/>
  <c r="D6" i="5"/>
  <c r="D4" i="5"/>
  <c r="D3" i="5"/>
  <c r="D5" i="5"/>
  <c r="E6" i="5"/>
  <c r="E5" i="5"/>
  <c r="E4" i="5"/>
  <c r="E3" i="5"/>
  <c r="C3" i="5"/>
  <c r="C6" i="5"/>
  <c r="C5" i="5"/>
  <c r="C4" i="5"/>
  <c r="B6" i="5"/>
  <c r="B5" i="5"/>
  <c r="B3" i="5"/>
  <c r="F22" i="11" l="1"/>
  <c r="G22" i="11" s="1"/>
  <c r="C22" i="11"/>
  <c r="G19" i="12"/>
  <c r="G20" i="12"/>
  <c r="G15" i="12"/>
  <c r="G19" i="13"/>
  <c r="G24" i="13"/>
  <c r="G18" i="13"/>
  <c r="G15" i="13"/>
  <c r="F25" i="13"/>
  <c r="F26" i="13" s="1"/>
  <c r="F25" i="12"/>
  <c r="F26" i="12" s="1"/>
  <c r="G4" i="5"/>
  <c r="E7" i="5"/>
  <c r="G7" i="5"/>
  <c r="G3" i="5"/>
  <c r="F4" i="5"/>
  <c r="G6" i="5"/>
  <c r="G5" i="5"/>
  <c r="F7" i="5"/>
  <c r="C7" i="5"/>
  <c r="F6" i="5"/>
  <c r="F3" i="5"/>
  <c r="F5" i="5"/>
  <c r="E22" i="11" l="1"/>
  <c r="D22" i="11"/>
  <c r="F23" i="11" s="1"/>
  <c r="G23" i="11" s="1"/>
  <c r="H22" i="11"/>
  <c r="D26" i="13"/>
  <c r="H26" i="13" s="1"/>
  <c r="E26" i="13"/>
  <c r="D27" i="13" s="1"/>
  <c r="H27" i="13" s="1"/>
  <c r="G26" i="13"/>
  <c r="E26" i="12"/>
  <c r="G26" i="12"/>
  <c r="D26" i="12"/>
  <c r="H26" i="12" s="1"/>
  <c r="C23" i="11" l="1"/>
  <c r="F27" i="13"/>
  <c r="E27" i="13" s="1"/>
  <c r="D27" i="12"/>
  <c r="H27" i="12" s="1"/>
  <c r="F27" i="12"/>
  <c r="D23" i="11" l="1"/>
  <c r="C24" i="11" s="1"/>
  <c r="E23" i="11"/>
  <c r="H23" i="11"/>
  <c r="G27" i="13"/>
  <c r="D28" i="13"/>
  <c r="H28" i="13" s="1"/>
  <c r="F28" i="13"/>
  <c r="E27" i="12"/>
  <c r="G27" i="12"/>
  <c r="F24" i="11" l="1"/>
  <c r="G24" i="11" s="1"/>
  <c r="H24" i="11" s="1"/>
  <c r="D24" i="11"/>
  <c r="F25" i="11" s="1"/>
  <c r="G25" i="11" s="1"/>
  <c r="E24" i="11"/>
  <c r="G28" i="13"/>
  <c r="E28" i="13"/>
  <c r="D28" i="12"/>
  <c r="H28" i="12" s="1"/>
  <c r="F28" i="12"/>
  <c r="C25" i="11" l="1"/>
  <c r="D29" i="13"/>
  <c r="H29" i="13" s="1"/>
  <c r="F29" i="13"/>
  <c r="G28" i="12"/>
  <c r="E28" i="12"/>
  <c r="D25" i="11" l="1"/>
  <c r="F26" i="11" s="1"/>
  <c r="G26" i="11" s="1"/>
  <c r="E25" i="11"/>
  <c r="H25" i="11"/>
  <c r="E29" i="13"/>
  <c r="G29" i="13"/>
  <c r="D29" i="12"/>
  <c r="H29" i="12" s="1"/>
  <c r="F29" i="12"/>
  <c r="C26" i="11" l="1"/>
  <c r="D30" i="13"/>
  <c r="H30" i="13" s="1"/>
  <c r="F30" i="13"/>
  <c r="G29" i="12"/>
  <c r="E29" i="12"/>
  <c r="D26" i="11" l="1"/>
  <c r="F27" i="11" s="1"/>
  <c r="G27" i="11" s="1"/>
  <c r="E26" i="11"/>
  <c r="H26" i="11"/>
  <c r="E30" i="13"/>
  <c r="G30" i="13"/>
  <c r="D30" i="12"/>
  <c r="H30" i="12" s="1"/>
  <c r="F30" i="12"/>
  <c r="D31" i="13" l="1"/>
  <c r="H31" i="13" s="1"/>
  <c r="F31" i="13"/>
  <c r="E30" i="12"/>
  <c r="G30" i="12"/>
  <c r="H27" i="11" l="1"/>
  <c r="C27" i="11"/>
  <c r="G31" i="13"/>
  <c r="E31" i="13"/>
  <c r="D31" i="12"/>
  <c r="H31" i="12" s="1"/>
  <c r="F31" i="12"/>
  <c r="D27" i="11" l="1"/>
  <c r="F28" i="11" s="1"/>
  <c r="G28" i="11" s="1"/>
  <c r="E27" i="11"/>
  <c r="D32" i="13"/>
  <c r="H32" i="13" s="1"/>
  <c r="F32" i="13"/>
  <c r="E31" i="12"/>
  <c r="G31" i="12"/>
  <c r="C28" i="11" l="1"/>
  <c r="H28" i="11"/>
  <c r="G32" i="13"/>
  <c r="E32" i="13"/>
  <c r="D32" i="12"/>
  <c r="H32" i="12" s="1"/>
  <c r="F32" i="12"/>
  <c r="D28" i="11" l="1"/>
  <c r="F29" i="11" s="1"/>
  <c r="G29" i="11" s="1"/>
  <c r="E28" i="11"/>
  <c r="D33" i="13"/>
  <c r="H33" i="13" s="1"/>
  <c r="F33" i="13"/>
  <c r="G32" i="12"/>
  <c r="E32" i="12"/>
  <c r="C29" i="11" l="1"/>
  <c r="H29" i="11"/>
  <c r="E33" i="13"/>
  <c r="G33" i="13"/>
  <c r="D33" i="12"/>
  <c r="H33" i="12" s="1"/>
  <c r="F33" i="12"/>
  <c r="D29" i="11" l="1"/>
  <c r="F30" i="11" s="1"/>
  <c r="G30" i="11" s="1"/>
  <c r="E29" i="11"/>
  <c r="D34" i="13"/>
  <c r="H34" i="13" s="1"/>
  <c r="F34" i="13"/>
  <c r="G33" i="12"/>
  <c r="E33" i="12"/>
  <c r="C30" i="11" l="1"/>
  <c r="H30" i="11"/>
  <c r="E34" i="13"/>
  <c r="G34" i="13"/>
  <c r="D34" i="12"/>
  <c r="H34" i="12" s="1"/>
  <c r="F34" i="12"/>
  <c r="D30" i="11" l="1"/>
  <c r="F31" i="11" s="1"/>
  <c r="G31" i="11" s="1"/>
  <c r="E30" i="11"/>
  <c r="D35" i="13"/>
  <c r="H35" i="13" s="1"/>
  <c r="F35" i="13"/>
  <c r="E34" i="12"/>
  <c r="G34" i="12"/>
  <c r="C31" i="11" l="1"/>
  <c r="H31" i="11"/>
  <c r="E35" i="13"/>
  <c r="G35" i="13"/>
  <c r="D35" i="12"/>
  <c r="H35" i="12" s="1"/>
  <c r="F35" i="12"/>
  <c r="D31" i="11" l="1"/>
  <c r="F32" i="11" s="1"/>
  <c r="G32" i="11" s="1"/>
  <c r="E31" i="11"/>
  <c r="D36" i="13"/>
  <c r="H36" i="13" s="1"/>
  <c r="F36" i="13"/>
  <c r="E35" i="12"/>
  <c r="G35" i="12"/>
  <c r="C32" i="11" l="1"/>
  <c r="H32" i="11"/>
  <c r="G36" i="13"/>
  <c r="E36" i="13"/>
  <c r="D36" i="12"/>
  <c r="H36" i="12" s="1"/>
  <c r="F36" i="12"/>
  <c r="D32" i="11" l="1"/>
  <c r="F33" i="11" s="1"/>
  <c r="G33" i="11" s="1"/>
  <c r="E32" i="11"/>
  <c r="D37" i="13"/>
  <c r="H37" i="13" s="1"/>
  <c r="F37" i="13"/>
  <c r="G36" i="12"/>
  <c r="E36" i="12"/>
  <c r="C33" i="11" l="1"/>
  <c r="H33" i="11"/>
  <c r="E37" i="13"/>
  <c r="G37" i="13"/>
  <c r="D37" i="12"/>
  <c r="H37" i="12" s="1"/>
  <c r="F37" i="12"/>
  <c r="D33" i="11" l="1"/>
  <c r="F34" i="11" s="1"/>
  <c r="G34" i="11" s="1"/>
  <c r="E33" i="11"/>
  <c r="D38" i="13"/>
  <c r="H38" i="13" s="1"/>
  <c r="F38" i="13"/>
  <c r="E37" i="12"/>
  <c r="G37" i="12"/>
  <c r="C34" i="11" l="1"/>
  <c r="H34" i="11"/>
  <c r="E38" i="13"/>
  <c r="G38" i="13"/>
  <c r="D38" i="12"/>
  <c r="H38" i="12" s="1"/>
  <c r="F38" i="12"/>
  <c r="D34" i="11" l="1"/>
  <c r="F35" i="11" s="1"/>
  <c r="G35" i="11" s="1"/>
  <c r="E34" i="11"/>
  <c r="D39" i="13"/>
  <c r="H39" i="13" s="1"/>
  <c r="F39" i="13"/>
  <c r="E38" i="12"/>
  <c r="G38" i="12"/>
  <c r="C35" i="11" l="1"/>
  <c r="H35" i="11"/>
  <c r="G39" i="13"/>
  <c r="E39" i="13"/>
  <c r="D39" i="12"/>
  <c r="H39" i="12" s="1"/>
  <c r="F39" i="12"/>
  <c r="D35" i="11" l="1"/>
  <c r="F36" i="11" s="1"/>
  <c r="G36" i="11" s="1"/>
  <c r="E35" i="11"/>
  <c r="D40" i="13"/>
  <c r="H40" i="13" s="1"/>
  <c r="F40" i="13"/>
  <c r="G39" i="12"/>
  <c r="E39" i="12"/>
  <c r="C36" i="11" l="1"/>
  <c r="D36" i="11" s="1"/>
  <c r="F37" i="11" s="1"/>
  <c r="G37" i="11" s="1"/>
  <c r="H36" i="11"/>
  <c r="G40" i="13"/>
  <c r="E40" i="13"/>
  <c r="D40" i="12"/>
  <c r="H40" i="12" s="1"/>
  <c r="F40" i="12"/>
  <c r="E36" i="11" l="1"/>
  <c r="D41" i="13"/>
  <c r="H41" i="13" s="1"/>
  <c r="F41" i="13"/>
  <c r="G40" i="12"/>
  <c r="E40" i="12"/>
  <c r="H37" i="11" l="1"/>
  <c r="C37" i="11"/>
  <c r="E41" i="13"/>
  <c r="G41" i="13"/>
  <c r="D41" i="12"/>
  <c r="H41" i="12" s="1"/>
  <c r="F41" i="12"/>
  <c r="D37" i="11" l="1"/>
  <c r="F38" i="11" s="1"/>
  <c r="G38" i="11" s="1"/>
  <c r="E37" i="11"/>
  <c r="D42" i="13"/>
  <c r="H42" i="13" s="1"/>
  <c r="F42" i="13"/>
  <c r="E41" i="12"/>
  <c r="G41" i="12"/>
  <c r="C38" i="11" l="1"/>
  <c r="D38" i="11" s="1"/>
  <c r="F39" i="11" s="1"/>
  <c r="G39" i="11" s="1"/>
  <c r="H38" i="11"/>
  <c r="E42" i="13"/>
  <c r="G42" i="13"/>
  <c r="D42" i="12"/>
  <c r="H42" i="12" s="1"/>
  <c r="F42" i="12"/>
  <c r="E38" i="11" l="1"/>
  <c r="D43" i="13"/>
  <c r="H43" i="13" s="1"/>
  <c r="F43" i="13"/>
  <c r="E42" i="12"/>
  <c r="G42" i="12"/>
  <c r="H39" i="11" l="1"/>
  <c r="C39" i="11"/>
  <c r="G43" i="13"/>
  <c r="E43" i="13"/>
  <c r="D43" i="12"/>
  <c r="H43" i="12" s="1"/>
  <c r="F43" i="12"/>
  <c r="D39" i="11" l="1"/>
  <c r="F40" i="11" s="1"/>
  <c r="G40" i="11" s="1"/>
  <c r="E39" i="11"/>
  <c r="D44" i="13"/>
  <c r="H44" i="13" s="1"/>
  <c r="F44" i="13"/>
  <c r="G43" i="12"/>
  <c r="E43" i="12"/>
  <c r="C40" i="11" l="1"/>
  <c r="H40" i="11"/>
  <c r="G44" i="13"/>
  <c r="E44" i="13"/>
  <c r="D44" i="12"/>
  <c r="H44" i="12" s="1"/>
  <c r="F44" i="12"/>
  <c r="D40" i="11" l="1"/>
  <c r="F41" i="11" s="1"/>
  <c r="G41" i="11" s="1"/>
  <c r="E40" i="11"/>
  <c r="D45" i="13"/>
  <c r="H45" i="13" s="1"/>
  <c r="F45" i="13"/>
  <c r="G44" i="12"/>
  <c r="E44" i="12"/>
  <c r="C41" i="11" l="1"/>
  <c r="H41" i="11"/>
  <c r="E45" i="13"/>
  <c r="G45" i="13"/>
  <c r="D45" i="12"/>
  <c r="H45" i="12" s="1"/>
  <c r="F45" i="12"/>
  <c r="D41" i="11" l="1"/>
  <c r="F42" i="11" s="1"/>
  <c r="G42" i="11" s="1"/>
  <c r="E41" i="11"/>
  <c r="D46" i="13"/>
  <c r="H46" i="13" s="1"/>
  <c r="F46" i="13"/>
  <c r="G45" i="12"/>
  <c r="E45" i="12"/>
  <c r="C42" i="11" l="1"/>
  <c r="H42" i="11"/>
  <c r="E46" i="13"/>
  <c r="G46" i="13"/>
  <c r="D46" i="12"/>
  <c r="H46" i="12" s="1"/>
  <c r="F46" i="12"/>
  <c r="D42" i="11" l="1"/>
  <c r="F43" i="11" s="1"/>
  <c r="G43" i="11" s="1"/>
  <c r="E42" i="11"/>
  <c r="D47" i="13"/>
  <c r="H47" i="13" s="1"/>
  <c r="F47" i="13"/>
  <c r="E46" i="12"/>
  <c r="G46" i="12"/>
  <c r="C43" i="11" l="1"/>
  <c r="H43" i="11"/>
  <c r="G47" i="13"/>
  <c r="E47" i="13"/>
  <c r="D47" i="12"/>
  <c r="H47" i="12" s="1"/>
  <c r="F47" i="12"/>
  <c r="E43" i="11" l="1"/>
  <c r="D43" i="11"/>
  <c r="F44" i="11" s="1"/>
  <c r="G44" i="11" s="1"/>
  <c r="D48" i="13"/>
  <c r="H48" i="13" s="1"/>
  <c r="F48" i="13"/>
  <c r="E47" i="12"/>
  <c r="G47" i="12"/>
  <c r="C44" i="11" l="1"/>
  <c r="H44" i="11"/>
  <c r="G48" i="13"/>
  <c r="E48" i="13"/>
  <c r="D48" i="12"/>
  <c r="H48" i="12" s="1"/>
  <c r="F48" i="12"/>
  <c r="D44" i="11" l="1"/>
  <c r="F45" i="11" s="1"/>
  <c r="G45" i="11" s="1"/>
  <c r="E44" i="11"/>
  <c r="D49" i="13"/>
  <c r="H49" i="13" s="1"/>
  <c r="H50" i="13" s="1"/>
  <c r="F49" i="13"/>
  <c r="G48" i="12"/>
  <c r="E48" i="12"/>
  <c r="C45" i="11" l="1"/>
  <c r="D45" i="11" s="1"/>
  <c r="F46" i="11" s="1"/>
  <c r="G46" i="11" s="1"/>
  <c r="H45" i="11"/>
  <c r="E49" i="13"/>
  <c r="C50" i="13" s="1"/>
  <c r="G49" i="13"/>
  <c r="D49" i="12"/>
  <c r="H49" i="12" s="1"/>
  <c r="H50" i="12" s="1"/>
  <c r="F49" i="12"/>
  <c r="E45" i="11" l="1"/>
  <c r="C46" i="11"/>
  <c r="E49" i="12"/>
  <c r="C50" i="12" s="1"/>
  <c r="G49" i="12"/>
  <c r="D46" i="11" l="1"/>
  <c r="F47" i="11" s="1"/>
  <c r="G47" i="11" s="1"/>
  <c r="I5" i="11" s="1"/>
  <c r="E46" i="11"/>
  <c r="H46" i="11"/>
  <c r="C47" i="11" l="1"/>
  <c r="H47" i="11"/>
  <c r="D47" i="11" l="1"/>
  <c r="F48" i="11" s="1"/>
  <c r="G48" i="11" s="1"/>
  <c r="H48" i="11" s="1"/>
  <c r="E47" i="11"/>
  <c r="C48" i="11" l="1"/>
  <c r="D48" i="11" s="1"/>
  <c r="F49" i="11" s="1"/>
  <c r="E48" i="11" l="1"/>
</calcChain>
</file>

<file path=xl/sharedStrings.xml><?xml version="1.0" encoding="utf-8"?>
<sst xmlns="http://schemas.openxmlformats.org/spreadsheetml/2006/main" count="228" uniqueCount="95">
  <si>
    <t>eladas</t>
  </si>
  <si>
    <t>vetel</t>
  </si>
  <si>
    <t>USD</t>
  </si>
  <si>
    <t>EUR</t>
  </si>
  <si>
    <t>CAD</t>
  </si>
  <si>
    <t>HUF</t>
  </si>
  <si>
    <t>datum</t>
  </si>
  <si>
    <t>penznem</t>
  </si>
  <si>
    <t>tipus</t>
  </si>
  <si>
    <t>ron osszeg</t>
  </si>
  <si>
    <t>abs összforgalom</t>
  </si>
  <si>
    <t>RON</t>
  </si>
  <si>
    <t>vételi tranzakciok száma (db)</t>
  </si>
  <si>
    <t>eladás tranzakciok száma (db)</t>
  </si>
  <si>
    <t>pénznem</t>
  </si>
  <si>
    <t>NETTÓ mennyiség</t>
  </si>
  <si>
    <t>Valuta</t>
  </si>
  <si>
    <t>Mennyiség</t>
  </si>
  <si>
    <t>eladás összmennyiseg (-)</t>
  </si>
  <si>
    <t>vétel összmennyiseg (+)</t>
  </si>
  <si>
    <t>mennyivel nőtt vagy csökkent a eddig ma?</t>
  </si>
  <si>
    <t>nap (ma)</t>
  </si>
  <si>
    <t>Vétel</t>
  </si>
  <si>
    <t>valuta összeg</t>
  </si>
  <si>
    <t>hónap</t>
  </si>
  <si>
    <t>eladás összesen</t>
  </si>
  <si>
    <t>vétel összesen</t>
  </si>
  <si>
    <t>év</t>
  </si>
  <si>
    <t>hó</t>
  </si>
  <si>
    <t>đ</t>
  </si>
  <si>
    <t>s12</t>
  </si>
  <si>
    <t>s11</t>
  </si>
  <si>
    <t>s10</t>
  </si>
  <si>
    <t>s9</t>
  </si>
  <si>
    <t>s8</t>
  </si>
  <si>
    <t>s7</t>
  </si>
  <si>
    <t>s6</t>
  </si>
  <si>
    <t>s5</t>
  </si>
  <si>
    <t>s4</t>
  </si>
  <si>
    <t>s3</t>
  </si>
  <si>
    <t>s2</t>
  </si>
  <si>
    <t>s1</t>
  </si>
  <si>
    <t>T0</t>
  </si>
  <si>
    <t>L0</t>
  </si>
  <si>
    <t>Eladás</t>
  </si>
  <si>
    <t>Eladés</t>
  </si>
  <si>
    <t>Hónap</t>
  </si>
  <si>
    <t>Év</t>
  </si>
  <si>
    <t>EURO</t>
  </si>
  <si>
    <t>Hiba</t>
  </si>
  <si>
    <t>Elorejelzes</t>
  </si>
  <si>
    <t>Szezonindex</t>
  </si>
  <si>
    <t>Trend</t>
  </si>
  <si>
    <t>Alapegyenes</t>
  </si>
  <si>
    <t>Adatok</t>
  </si>
  <si>
    <t>Datum</t>
  </si>
  <si>
    <t>Atlahos abszolut hiba</t>
  </si>
  <si>
    <t>Gamma</t>
  </si>
  <si>
    <t>Beta</t>
  </si>
  <si>
    <t>Alfa</t>
  </si>
  <si>
    <t>V_USD</t>
  </si>
  <si>
    <t>E_USD</t>
  </si>
  <si>
    <t>V_CAD</t>
  </si>
  <si>
    <t>E_CAD</t>
  </si>
  <si>
    <t>Eurv</t>
  </si>
  <si>
    <t>Eure</t>
  </si>
  <si>
    <t>V_EUR</t>
  </si>
  <si>
    <t>E_EUR</t>
  </si>
  <si>
    <t>V_HUF</t>
  </si>
  <si>
    <t>E_HUF</t>
  </si>
  <si>
    <t>Hónap index</t>
  </si>
  <si>
    <t>ft</t>
  </si>
  <si>
    <t>Tt</t>
  </si>
  <si>
    <t>Lt</t>
  </si>
  <si>
    <t>st</t>
  </si>
  <si>
    <t>Évi átlag</t>
  </si>
  <si>
    <t>Jan.</t>
  </si>
  <si>
    <t>Feb.</t>
  </si>
  <si>
    <t>Márc.</t>
  </si>
  <si>
    <t>Ápr.</t>
  </si>
  <si>
    <t>Május</t>
  </si>
  <si>
    <t>Június</t>
  </si>
  <si>
    <t>Július</t>
  </si>
  <si>
    <t>Aug.</t>
  </si>
  <si>
    <t>Szept.</t>
  </si>
  <si>
    <t>Okt.</t>
  </si>
  <si>
    <t>beta</t>
  </si>
  <si>
    <t>alfa</t>
  </si>
  <si>
    <t>gamma</t>
  </si>
  <si>
    <t>Nov.</t>
  </si>
  <si>
    <t>Dec.</t>
  </si>
  <si>
    <t>AE</t>
  </si>
  <si>
    <t>2022.10</t>
  </si>
  <si>
    <t>2023.10</t>
  </si>
  <si>
    <t>EUR Eladás Holt-Winters elõrejelzés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</si>
</sst>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ON]\ * #,##0.0000_-;\-[$RON]\ * #,##0.0000_-;_-[$RON]\ * &quot;-&quot;??_-;_-@_-"/>
    <numFmt numFmtId="165" formatCode="yyyy\-mm\-dd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Inherit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1" xfId="0" applyBorder="1"/>
    <xf numFmtId="0" fontId="0" fillId="3" borderId="1" xfId="0" applyFill="1" applyBorder="1"/>
    <xf numFmtId="165" fontId="1" fillId="3" borderId="1" xfId="0" applyNumberFormat="1" applyFont="1" applyFill="1" applyBorder="1"/>
    <xf numFmtId="0" fontId="2" fillId="0" borderId="1" xfId="0" applyFont="1" applyBorder="1" applyAlignment="1">
      <alignment horizontal="left" vertical="center" wrapText="1" indent="1"/>
    </xf>
    <xf numFmtId="164" fontId="0" fillId="0" borderId="1" xfId="0" applyNumberFormat="1" applyBorder="1"/>
    <xf numFmtId="0" fontId="2" fillId="0" borderId="2" xfId="0" applyFont="1" applyBorder="1" applyAlignment="1">
      <alignment horizontal="left" vertical="center" wrapText="1" indent="1"/>
    </xf>
    <xf numFmtId="14" fontId="0" fillId="0" borderId="0" xfId="0" applyNumberFormat="1"/>
    <xf numFmtId="0" fontId="0" fillId="3" borderId="0" xfId="0" applyFill="1"/>
    <xf numFmtId="0" fontId="0" fillId="2" borderId="1" xfId="0" applyFill="1" applyBorder="1"/>
    <xf numFmtId="0" fontId="1" fillId="3" borderId="2" xfId="0" applyFont="1" applyFill="1" applyBorder="1"/>
    <xf numFmtId="0" fontId="0" fillId="0" borderId="0" xfId="0" applyAlignment="1">
      <alignment horizontal="right"/>
    </xf>
    <xf numFmtId="0" fontId="0" fillId="2" borderId="0" xfId="0" applyFill="1"/>
    <xf numFmtId="0" fontId="1" fillId="2" borderId="0" xfId="0" applyFont="1" applyFill="1"/>
    <xf numFmtId="14" fontId="0" fillId="2" borderId="0" xfId="0" applyNumberFormat="1" applyFill="1"/>
    <xf numFmtId="0" fontId="0" fillId="5" borderId="0" xfId="0" applyFill="1"/>
    <xf numFmtId="0" fontId="0" fillId="6" borderId="0" xfId="0" applyFill="1"/>
    <xf numFmtId="0" fontId="3" fillId="0" borderId="0" xfId="0" applyFont="1"/>
    <xf numFmtId="0" fontId="4" fillId="0" borderId="3" xfId="0" applyFont="1" applyBorder="1"/>
    <xf numFmtId="0" fontId="4" fillId="0" borderId="0" xfId="0" applyFont="1"/>
    <xf numFmtId="0" fontId="0" fillId="0" borderId="3" xfId="0" applyBorder="1"/>
    <xf numFmtId="0" fontId="0" fillId="7" borderId="0" xfId="0" applyFill="1" applyAlignment="1">
      <alignment horizontal="center"/>
    </xf>
    <xf numFmtId="0" fontId="0" fillId="4" borderId="0" xfId="0" applyFill="1"/>
    <xf numFmtId="0" fontId="0" fillId="9" borderId="0" xfId="0" applyFill="1"/>
    <xf numFmtId="0" fontId="5" fillId="4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0" xfId="0" applyFill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9" xfId="0" applyFont="1" applyFill="1" applyBorder="1"/>
    <xf numFmtId="0" fontId="5" fillId="4" borderId="11" xfId="0" applyFont="1" applyFill="1" applyBorder="1"/>
    <xf numFmtId="0" fontId="5" fillId="4" borderId="12" xfId="0" applyFont="1" applyFill="1" applyBorder="1"/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2" xfId="0" applyFont="1" applyBorder="1"/>
    <xf numFmtId="0" fontId="0" fillId="11" borderId="0" xfId="0" applyFill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12" borderId="0" xfId="0" applyFill="1"/>
    <xf numFmtId="0" fontId="0" fillId="8" borderId="0" xfId="0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2" borderId="16" xfId="0" applyFill="1" applyBorder="1"/>
    <xf numFmtId="0" fontId="0" fillId="8" borderId="16" xfId="0" applyFill="1" applyBorder="1"/>
    <xf numFmtId="0" fontId="0" fillId="0" borderId="16" xfId="0" applyBorder="1"/>
    <xf numFmtId="0" fontId="6" fillId="4" borderId="0" xfId="0" applyFont="1" applyFill="1"/>
    <xf numFmtId="0" fontId="6" fillId="4" borderId="16" xfId="0" applyFont="1" applyFill="1" applyBorder="1"/>
    <xf numFmtId="0" fontId="7" fillId="0" borderId="0" xfId="0" applyFont="1"/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9" fillId="8" borderId="1" xfId="0" applyFont="1" applyFill="1" applyBorder="1"/>
    <xf numFmtId="0" fontId="9" fillId="8" borderId="0" xfId="0" applyFont="1" applyFill="1"/>
    <xf numFmtId="0" fontId="4" fillId="0" borderId="4" xfId="0" applyFont="1" applyBorder="1"/>
    <xf numFmtId="0" fontId="4" fillId="0" borderId="1" xfId="0" applyFont="1" applyBorder="1"/>
    <xf numFmtId="0" fontId="4" fillId="11" borderId="0" xfId="0" applyFont="1" applyFill="1"/>
    <xf numFmtId="0" fontId="4" fillId="6" borderId="0" xfId="0" applyFont="1" applyFill="1"/>
    <xf numFmtId="49" fontId="4" fillId="0" borderId="0" xfId="0" applyNumberFormat="1" applyFont="1"/>
    <xf numFmtId="49" fontId="4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52B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előrejelzés!$G$3</c:f>
          <c:strCache>
            <c:ptCount val="1"/>
            <c:pt idx="0">
              <c:v>EUR Eladás Holt-Winters elõrejelzés</c:v>
            </c:pt>
          </c:strCache>
        </c:strRef>
      </c:tx>
      <c:layout>
        <c:manualLayout>
          <c:xMode val="edge"/>
          <c:yMode val="edge"/>
          <c:x val="0.35375614131859801"/>
          <c:y val="3.5519172082754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76177297972765"/>
          <c:y val="0.1116636606652351"/>
          <c:w val="0.87119092142898202"/>
          <c:h val="0.66220571280086016"/>
        </c:manualLayout>
      </c:layout>
      <c:lineChart>
        <c:grouping val="standard"/>
        <c:varyColors val="0"/>
        <c:ser>
          <c:idx val="0"/>
          <c:order val="0"/>
          <c:tx>
            <c:v>becslés</c:v>
          </c:tx>
          <c:spPr>
            <a:ln w="381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5C2-4878-BD7F-8143F3D94645}"/>
              </c:ext>
            </c:extLst>
          </c:dPt>
          <c:cat>
            <c:strRef>
              <c:f>előrejelzés!$A$21:$A$49</c:f>
              <c:strCache>
                <c:ptCount val="29"/>
                <c:pt idx="0">
                  <c:v>2022.01</c:v>
                </c:pt>
                <c:pt idx="1">
                  <c:v>2022.02</c:v>
                </c:pt>
                <c:pt idx="2">
                  <c:v>2022.03</c:v>
                </c:pt>
                <c:pt idx="3">
                  <c:v>2022.04</c:v>
                </c:pt>
                <c:pt idx="4">
                  <c:v>2022.05</c:v>
                </c:pt>
                <c:pt idx="5">
                  <c:v>2022.06</c:v>
                </c:pt>
                <c:pt idx="6">
                  <c:v>2022.07</c:v>
                </c:pt>
                <c:pt idx="7">
                  <c:v>2022.08</c:v>
                </c:pt>
                <c:pt idx="8">
                  <c:v>2022.09</c:v>
                </c:pt>
                <c:pt idx="9">
                  <c:v>2022.10</c:v>
                </c:pt>
                <c:pt idx="10">
                  <c:v>2022.11</c:v>
                </c:pt>
                <c:pt idx="11">
                  <c:v>2022.12</c:v>
                </c:pt>
                <c:pt idx="12">
                  <c:v>2023.01</c:v>
                </c:pt>
                <c:pt idx="13">
                  <c:v>2023.02</c:v>
                </c:pt>
                <c:pt idx="14">
                  <c:v>2023.03</c:v>
                </c:pt>
                <c:pt idx="15">
                  <c:v>2023.04</c:v>
                </c:pt>
                <c:pt idx="16">
                  <c:v>2023.05</c:v>
                </c:pt>
                <c:pt idx="17">
                  <c:v>2023.06</c:v>
                </c:pt>
                <c:pt idx="18">
                  <c:v>2023.07</c:v>
                </c:pt>
                <c:pt idx="19">
                  <c:v>2023.08</c:v>
                </c:pt>
                <c:pt idx="20">
                  <c:v>2023.09</c:v>
                </c:pt>
                <c:pt idx="21">
                  <c:v>2023.10</c:v>
                </c:pt>
                <c:pt idx="22">
                  <c:v>2023.11</c:v>
                </c:pt>
                <c:pt idx="23">
                  <c:v>2023.12</c:v>
                </c:pt>
                <c:pt idx="24">
                  <c:v>2024.01</c:v>
                </c:pt>
                <c:pt idx="25">
                  <c:v>2024.02</c:v>
                </c:pt>
                <c:pt idx="26">
                  <c:v>2024.03</c:v>
                </c:pt>
                <c:pt idx="27">
                  <c:v>2024.04</c:v>
                </c:pt>
                <c:pt idx="28">
                  <c:v>2024.05</c:v>
                </c:pt>
              </c:strCache>
            </c:strRef>
          </c:cat>
          <c:val>
            <c:numRef>
              <c:f>előrejelzés!$F$21:$F$49</c:f>
              <c:numCache>
                <c:formatCode>General</c:formatCode>
                <c:ptCount val="29"/>
                <c:pt idx="0">
                  <c:v>181639.07749515155</c:v>
                </c:pt>
                <c:pt idx="1">
                  <c:v>126512.85122351957</c:v>
                </c:pt>
                <c:pt idx="2">
                  <c:v>240291.93726047158</c:v>
                </c:pt>
                <c:pt idx="3">
                  <c:v>147224.90892256371</c:v>
                </c:pt>
                <c:pt idx="4">
                  <c:v>94415.818227760756</c:v>
                </c:pt>
                <c:pt idx="5">
                  <c:v>298357.27917643386</c:v>
                </c:pt>
                <c:pt idx="6">
                  <c:v>353644.04194952425</c:v>
                </c:pt>
                <c:pt idx="7">
                  <c:v>201099.05526708451</c:v>
                </c:pt>
                <c:pt idx="8">
                  <c:v>111995.61931301128</c:v>
                </c:pt>
                <c:pt idx="9">
                  <c:v>182081.09269169703</c:v>
                </c:pt>
                <c:pt idx="10">
                  <c:v>170351.4846768016</c:v>
                </c:pt>
                <c:pt idx="11">
                  <c:v>148671.07059610559</c:v>
                </c:pt>
                <c:pt idx="12">
                  <c:v>132110.00201932684</c:v>
                </c:pt>
                <c:pt idx="13">
                  <c:v>114373.37173941699</c:v>
                </c:pt>
                <c:pt idx="14">
                  <c:v>129455.3831645342</c:v>
                </c:pt>
                <c:pt idx="15">
                  <c:v>106223.0504943557</c:v>
                </c:pt>
                <c:pt idx="16">
                  <c:v>115720.00617644162</c:v>
                </c:pt>
                <c:pt idx="17">
                  <c:v>208100.50517369702</c:v>
                </c:pt>
                <c:pt idx="18">
                  <c:v>257549.35515563673</c:v>
                </c:pt>
                <c:pt idx="19">
                  <c:v>193920.44646278658</c:v>
                </c:pt>
                <c:pt idx="20">
                  <c:v>80857.02880336385</c:v>
                </c:pt>
                <c:pt idx="21">
                  <c:v>267586.1362956189</c:v>
                </c:pt>
                <c:pt idx="22">
                  <c:v>322591.06710066937</c:v>
                </c:pt>
                <c:pt idx="23">
                  <c:v>193080.53663678269</c:v>
                </c:pt>
                <c:pt idx="24">
                  <c:v>162607.23196814308</c:v>
                </c:pt>
                <c:pt idx="25">
                  <c:v>150689.14480441087</c:v>
                </c:pt>
                <c:pt idx="26">
                  <c:v>212801.70715808263</c:v>
                </c:pt>
                <c:pt idx="27">
                  <c:v>167900.44766792568</c:v>
                </c:pt>
                <c:pt idx="28">
                  <c:v>115246.12175697027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0-45B6-B19F-39F0FD084C65}"/>
            </c:ext>
          </c:extLst>
        </c:ser>
        <c:ser>
          <c:idx val="1"/>
          <c:order val="1"/>
          <c:tx>
            <c:v>ismert adat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előrejelzés!$A$21:$A$49</c:f>
              <c:strCache>
                <c:ptCount val="29"/>
                <c:pt idx="0">
                  <c:v>2022.01</c:v>
                </c:pt>
                <c:pt idx="1">
                  <c:v>2022.02</c:v>
                </c:pt>
                <c:pt idx="2">
                  <c:v>2022.03</c:v>
                </c:pt>
                <c:pt idx="3">
                  <c:v>2022.04</c:v>
                </c:pt>
                <c:pt idx="4">
                  <c:v>2022.05</c:v>
                </c:pt>
                <c:pt idx="5">
                  <c:v>2022.06</c:v>
                </c:pt>
                <c:pt idx="6">
                  <c:v>2022.07</c:v>
                </c:pt>
                <c:pt idx="7">
                  <c:v>2022.08</c:v>
                </c:pt>
                <c:pt idx="8">
                  <c:v>2022.09</c:v>
                </c:pt>
                <c:pt idx="9">
                  <c:v>2022.10</c:v>
                </c:pt>
                <c:pt idx="10">
                  <c:v>2022.11</c:v>
                </c:pt>
                <c:pt idx="11">
                  <c:v>2022.12</c:v>
                </c:pt>
                <c:pt idx="12">
                  <c:v>2023.01</c:v>
                </c:pt>
                <c:pt idx="13">
                  <c:v>2023.02</c:v>
                </c:pt>
                <c:pt idx="14">
                  <c:v>2023.03</c:v>
                </c:pt>
                <c:pt idx="15">
                  <c:v>2023.04</c:v>
                </c:pt>
                <c:pt idx="16">
                  <c:v>2023.05</c:v>
                </c:pt>
                <c:pt idx="17">
                  <c:v>2023.06</c:v>
                </c:pt>
                <c:pt idx="18">
                  <c:v>2023.07</c:v>
                </c:pt>
                <c:pt idx="19">
                  <c:v>2023.08</c:v>
                </c:pt>
                <c:pt idx="20">
                  <c:v>2023.09</c:v>
                </c:pt>
                <c:pt idx="21">
                  <c:v>2023.10</c:v>
                </c:pt>
                <c:pt idx="22">
                  <c:v>2023.11</c:v>
                </c:pt>
                <c:pt idx="23">
                  <c:v>2023.12</c:v>
                </c:pt>
                <c:pt idx="24">
                  <c:v>2024.01</c:v>
                </c:pt>
                <c:pt idx="25">
                  <c:v>2024.02</c:v>
                </c:pt>
                <c:pt idx="26">
                  <c:v>2024.03</c:v>
                </c:pt>
                <c:pt idx="27">
                  <c:v>2024.04</c:v>
                </c:pt>
                <c:pt idx="28">
                  <c:v>2024.05</c:v>
                </c:pt>
              </c:strCache>
            </c:strRef>
          </c:cat>
          <c:val>
            <c:numRef>
              <c:f>előrejelzés!$B$21:$B$48</c:f>
              <c:numCache>
                <c:formatCode>General</c:formatCode>
                <c:ptCount val="28"/>
                <c:pt idx="0">
                  <c:v>166145</c:v>
                </c:pt>
                <c:pt idx="1">
                  <c:v>186265</c:v>
                </c:pt>
                <c:pt idx="2">
                  <c:v>149165</c:v>
                </c:pt>
                <c:pt idx="3">
                  <c:v>116625</c:v>
                </c:pt>
                <c:pt idx="4">
                  <c:v>130765</c:v>
                </c:pt>
                <c:pt idx="5">
                  <c:v>155445</c:v>
                </c:pt>
                <c:pt idx="6">
                  <c:v>180220</c:v>
                </c:pt>
                <c:pt idx="7">
                  <c:v>143775</c:v>
                </c:pt>
                <c:pt idx="8">
                  <c:v>23320</c:v>
                </c:pt>
                <c:pt idx="9">
                  <c:v>164170</c:v>
                </c:pt>
                <c:pt idx="10">
                  <c:v>245302</c:v>
                </c:pt>
                <c:pt idx="11">
                  <c:v>148635</c:v>
                </c:pt>
                <c:pt idx="12">
                  <c:v>118020</c:v>
                </c:pt>
                <c:pt idx="13">
                  <c:v>125285</c:v>
                </c:pt>
                <c:pt idx="14">
                  <c:v>179225</c:v>
                </c:pt>
                <c:pt idx="15">
                  <c:v>207700</c:v>
                </c:pt>
                <c:pt idx="16">
                  <c:v>115720</c:v>
                </c:pt>
                <c:pt idx="17">
                  <c:v>152748</c:v>
                </c:pt>
                <c:pt idx="18">
                  <c:v>256512</c:v>
                </c:pt>
                <c:pt idx="19">
                  <c:v>307370</c:v>
                </c:pt>
                <c:pt idx="20">
                  <c:v>44365</c:v>
                </c:pt>
                <c:pt idx="21">
                  <c:v>259145</c:v>
                </c:pt>
                <c:pt idx="22">
                  <c:v>196065</c:v>
                </c:pt>
                <c:pt idx="23">
                  <c:v>193080</c:v>
                </c:pt>
                <c:pt idx="24">
                  <c:v>123589</c:v>
                </c:pt>
                <c:pt idx="25">
                  <c:v>234526</c:v>
                </c:pt>
                <c:pt idx="26">
                  <c:v>117605</c:v>
                </c:pt>
                <c:pt idx="27">
                  <c:v>221332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0-45B6-B19F-39F0FD084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7503792"/>
        <c:axId val="1707494544"/>
      </c:lineChart>
      <c:catAx>
        <c:axId val="170750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494544"/>
        <c:crosses val="autoZero"/>
        <c:auto val="1"/>
        <c:lblAlgn val="ctr"/>
        <c:lblOffset val="100"/>
        <c:noMultiLvlLbl val="0"/>
      </c:catAx>
      <c:valAx>
        <c:axId val="1707494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Havi</a:t>
                </a:r>
                <a:r>
                  <a:rPr lang="en-GB" baseline="0"/>
                  <a:t> forgalom 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412326479368925E-2"/>
              <c:y val="0.36869260007288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795891111131069"/>
          <c:y val="0.88390427164140584"/>
          <c:w val="0.58654418644211959"/>
          <c:h val="6.64144558148480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A$2" fmlaRange="$K$2:$K$3" noThreeD="1" sel="2" val="0"/>
</file>

<file path=xl/ctrlProps/ctrlProp2.xml><?xml version="1.0" encoding="utf-8"?>
<formControlPr xmlns="http://schemas.microsoft.com/office/spreadsheetml/2009/9/main" objectType="Drop" dropStyle="combo" dx="16" fmlaLink="$G$2" fmlaRange="$L$2:$L$5" noThreeD="1" sel="1" val="0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2049" name="startGomb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2</xdr:row>
          <xdr:rowOff>160020</xdr:rowOff>
        </xdr:from>
        <xdr:to>
          <xdr:col>6</xdr:col>
          <xdr:colOff>1242060</xdr:colOff>
          <xdr:row>4</xdr:row>
          <xdr:rowOff>121920</xdr:rowOff>
        </xdr:to>
        <xdr:sp macro="" textlink="">
          <xdr:nvSpPr>
            <xdr:cNvPr id="6146" name="napiOsszesites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45720</xdr:rowOff>
        </xdr:from>
        <xdr:to>
          <xdr:col>2</xdr:col>
          <xdr:colOff>628650</xdr:colOff>
          <xdr:row>2</xdr:row>
          <xdr:rowOff>114300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426720</xdr:colOff>
          <xdr:row>1</xdr:row>
          <xdr:rowOff>30480</xdr:rowOff>
        </xdr:from>
        <xdr:to>
          <xdr:col>5</xdr:col>
          <xdr:colOff>400050</xdr:colOff>
          <xdr:row>2</xdr:row>
          <xdr:rowOff>91440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16809</xdr:colOff>
          <xdr:row>0</xdr:row>
          <xdr:rowOff>71157</xdr:rowOff>
        </xdr:from>
        <xdr:to>
          <xdr:col>8</xdr:col>
          <xdr:colOff>558053</xdr:colOff>
          <xdr:row>2</xdr:row>
          <xdr:rowOff>90207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Előrejelzés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65112</xdr:colOff>
      <xdr:row>7</xdr:row>
      <xdr:rowOff>18825</xdr:rowOff>
    </xdr:from>
    <xdr:to>
      <xdr:col>22</xdr:col>
      <xdr:colOff>104662</xdr:colOff>
      <xdr:row>46</xdr:row>
      <xdr:rowOff>65329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ki/OneDrive/Asztali%20g&#233;p/utol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uta adatok"/>
      <sheetName val="Valutaváltás"/>
      <sheetName val="Napló"/>
      <sheetName val="osszesito"/>
      <sheetName val="Készlet"/>
    </sheetNames>
    <sheetDataSet>
      <sheetData sheetId="0">
        <row r="1">
          <cell r="E1">
            <v>0</v>
          </cell>
        </row>
        <row r="2">
          <cell r="E2" t="str">
            <v>USD</v>
          </cell>
        </row>
        <row r="3">
          <cell r="E3" t="str">
            <v>EUR</v>
          </cell>
        </row>
        <row r="4">
          <cell r="E4" t="str">
            <v>CAD</v>
          </cell>
        </row>
        <row r="5">
          <cell r="E5" t="str">
            <v>HUF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7"/>
  <sheetViews>
    <sheetView zoomScale="160" zoomScaleNormal="160" workbookViewId="0">
      <selection activeCell="D14" sqref="D14"/>
    </sheetView>
  </sheetViews>
  <sheetFormatPr defaultRowHeight="14.4"/>
  <cols>
    <col min="2" max="3" width="12.44140625" bestFit="1" customWidth="1"/>
    <col min="6" max="7" width="13.5546875" bestFit="1" customWidth="1"/>
  </cols>
  <sheetData>
    <row r="2" spans="1:3">
      <c r="A2" s="2" t="s">
        <v>14</v>
      </c>
      <c r="B2" s="2" t="s">
        <v>0</v>
      </c>
      <c r="C2" s="2" t="s">
        <v>1</v>
      </c>
    </row>
    <row r="3" spans="1:3">
      <c r="A3" s="4" t="s">
        <v>2</v>
      </c>
      <c r="B3" s="5">
        <v>4.6100000000000003</v>
      </c>
      <c r="C3" s="5">
        <v>4.5599999999999996</v>
      </c>
    </row>
    <row r="4" spans="1:3">
      <c r="A4" s="4" t="s">
        <v>3</v>
      </c>
      <c r="B4" s="5">
        <v>4.97</v>
      </c>
      <c r="C4" s="5">
        <v>4.9450000000000003</v>
      </c>
    </row>
    <row r="5" spans="1:3">
      <c r="A5" s="4" t="s">
        <v>4</v>
      </c>
      <c r="B5" s="5">
        <v>3.35</v>
      </c>
      <c r="C5" s="5">
        <v>3.3</v>
      </c>
    </row>
    <row r="6" spans="1:3">
      <c r="A6" s="4" t="s">
        <v>5</v>
      </c>
      <c r="B6" s="5">
        <f>1.3/100</f>
        <v>1.3000000000000001E-2</v>
      </c>
      <c r="C6" s="5">
        <f>1.29/100</f>
        <v>1.29E-2</v>
      </c>
    </row>
    <row r="7" spans="1:3">
      <c r="A7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K11" sqref="K11"/>
    </sheetView>
  </sheetViews>
  <sheetFormatPr defaultRowHeight="14.4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startGomb">
          <controlPr defaultSize="0" autoLine="0" autoPict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4</xdr:col>
                <xdr:colOff>0</xdr:colOff>
                <xdr:row>2</xdr:row>
                <xdr:rowOff>106680</xdr:rowOff>
              </to>
            </anchor>
          </controlPr>
        </control>
      </mc:Choice>
      <mc:Fallback>
        <control shapeId="2049" r:id="rId3" name="startGomb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2"/>
  <sheetViews>
    <sheetView zoomScale="175" zoomScaleNormal="175" workbookViewId="0">
      <selection activeCell="G9" sqref="G9"/>
    </sheetView>
  </sheetViews>
  <sheetFormatPr defaultRowHeight="14.4"/>
  <cols>
    <col min="1" max="1" width="11" bestFit="1" customWidth="1"/>
    <col min="4" max="4" width="12.6640625" bestFit="1" customWidth="1"/>
    <col min="5" max="5" width="10.33203125" bestFit="1" customWidth="1"/>
  </cols>
  <sheetData>
    <row r="1" spans="1:5">
      <c r="A1" s="2" t="s">
        <v>6</v>
      </c>
      <c r="B1" s="2" t="s">
        <v>8</v>
      </c>
      <c r="C1" s="2" t="s">
        <v>14</v>
      </c>
      <c r="D1" s="2" t="s">
        <v>23</v>
      </c>
      <c r="E1" s="2" t="s">
        <v>9</v>
      </c>
    </row>
    <row r="2" spans="1:5">
      <c r="A2" s="7">
        <v>45439</v>
      </c>
      <c r="B2" t="s">
        <v>44</v>
      </c>
      <c r="C2" t="s">
        <v>2</v>
      </c>
      <c r="D2">
        <v>-50</v>
      </c>
      <c r="E2">
        <v>230.5</v>
      </c>
    </row>
    <row r="3" spans="1:5">
      <c r="A3" s="7">
        <v>45439</v>
      </c>
      <c r="B3" t="s">
        <v>44</v>
      </c>
      <c r="C3" t="s">
        <v>3</v>
      </c>
      <c r="D3">
        <v>-60</v>
      </c>
      <c r="E3">
        <v>298.2</v>
      </c>
    </row>
    <row r="4" spans="1:5">
      <c r="A4" s="7">
        <v>45440</v>
      </c>
      <c r="B4" t="s">
        <v>44</v>
      </c>
      <c r="C4" t="s">
        <v>3</v>
      </c>
      <c r="D4">
        <v>-200</v>
      </c>
      <c r="E4">
        <v>994</v>
      </c>
    </row>
    <row r="5" spans="1:5">
      <c r="A5" s="7">
        <v>45440</v>
      </c>
      <c r="B5" t="s">
        <v>44</v>
      </c>
      <c r="C5" t="s">
        <v>3</v>
      </c>
      <c r="D5">
        <v>-1100</v>
      </c>
      <c r="E5">
        <v>5467</v>
      </c>
    </row>
    <row r="6" spans="1:5">
      <c r="A6" s="7"/>
    </row>
    <row r="7" spans="1:5">
      <c r="A7" s="7"/>
    </row>
    <row r="8" spans="1:5">
      <c r="A8" s="7"/>
    </row>
    <row r="9" spans="1:5">
      <c r="A9" s="7"/>
    </row>
    <row r="10" spans="1:5">
      <c r="A10" s="7"/>
    </row>
    <row r="11" spans="1:5">
      <c r="A11" s="7"/>
    </row>
    <row r="12" spans="1:5">
      <c r="A12" s="7"/>
    </row>
    <row r="13" spans="1:5">
      <c r="A13" s="7"/>
    </row>
    <row r="14" spans="1:5">
      <c r="A14" s="7"/>
    </row>
    <row r="15" spans="1:5">
      <c r="A15" s="7"/>
    </row>
    <row r="16" spans="1:5">
      <c r="A16" s="7"/>
    </row>
    <row r="17" spans="1:1">
      <c r="A17" s="7"/>
    </row>
    <row r="18" spans="1:1">
      <c r="A18" s="7"/>
    </row>
    <row r="19" spans="1:1">
      <c r="A19" s="7"/>
    </row>
    <row r="20" spans="1:1">
      <c r="A20" s="7"/>
    </row>
    <row r="21" spans="1:1">
      <c r="A21" s="7"/>
    </row>
    <row r="22" spans="1:1">
      <c r="A2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8"/>
  <sheetViews>
    <sheetView zoomScale="105" zoomScaleNormal="160" workbookViewId="0">
      <selection activeCell="F11" sqref="F11"/>
    </sheetView>
  </sheetViews>
  <sheetFormatPr defaultRowHeight="14.4"/>
  <cols>
    <col min="1" max="1" width="9.33203125" bestFit="1" customWidth="1"/>
    <col min="2" max="2" width="23.5546875" bestFit="1" customWidth="1"/>
    <col min="3" max="3" width="27.6640625" bestFit="1" customWidth="1"/>
    <col min="4" max="4" width="22.6640625" bestFit="1" customWidth="1"/>
    <col min="5" max="5" width="27.88671875" bestFit="1" customWidth="1"/>
    <col min="6" max="6" width="20.88671875" bestFit="1" customWidth="1"/>
    <col min="7" max="7" width="49.44140625" bestFit="1" customWidth="1"/>
  </cols>
  <sheetData>
    <row r="1" spans="1:7">
      <c r="A1" s="2" t="s">
        <v>21</v>
      </c>
      <c r="B1" s="3">
        <f ca="1">TODAY()</f>
        <v>45445</v>
      </c>
      <c r="C1" s="2"/>
      <c r="D1" s="2"/>
      <c r="E1" s="2"/>
      <c r="F1" s="8"/>
      <c r="G1" t="s">
        <v>20</v>
      </c>
    </row>
    <row r="2" spans="1:7">
      <c r="A2" s="2" t="s">
        <v>7</v>
      </c>
      <c r="B2" s="2" t="s">
        <v>18</v>
      </c>
      <c r="C2" s="2" t="s">
        <v>13</v>
      </c>
      <c r="D2" s="2" t="s">
        <v>19</v>
      </c>
      <c r="E2" s="2" t="s">
        <v>12</v>
      </c>
      <c r="F2" s="2" t="s">
        <v>10</v>
      </c>
      <c r="G2" s="10" t="s">
        <v>15</v>
      </c>
    </row>
    <row r="3" spans="1:7">
      <c r="A3" s="2" t="str">
        <f>IF('[1]Valuta adatok'!E2 &lt;&gt; "", '[1]Valuta adatok'!E2,"")</f>
        <v>USD</v>
      </c>
      <c r="B3" s="1">
        <f ca="1">ABS(SUMIFS(tranzakciok!D:D, tranzakciok!B:B,"Eladás", tranzakciok!C:C,osszesito!$A3, tranzakciok!A:A,osszesito!$B$1))</f>
        <v>0</v>
      </c>
      <c r="C3" s="1">
        <f ca="1">(COUNTIFS(tranzakciok!B:B,"Eladás", tranzakciok!C:C,osszesito!$A3, tranzakciok!A:A,osszesito!$B$1))</f>
        <v>0</v>
      </c>
      <c r="D3" s="1">
        <f ca="1">ABS(SUMIFS(tranzakciok!D:D, tranzakciok!B:B,"Vétel", tranzakciok!C:C,osszesito!$A3, tranzakciok!A:A,osszesito!$B$1))</f>
        <v>0</v>
      </c>
      <c r="E3" s="1">
        <f ca="1">(COUNTIFS(tranzakciok!B:B,"Vétel", tranzakciok!C:C,osszesito!$A3, tranzakciok!A:A,osszesito!$B$1))</f>
        <v>0</v>
      </c>
      <c r="F3" s="1">
        <f ca="1">B3+D3</f>
        <v>0</v>
      </c>
      <c r="G3">
        <f ca="1">D3-B3</f>
        <v>0</v>
      </c>
    </row>
    <row r="4" spans="1:7">
      <c r="A4" s="2" t="str">
        <f>IF('[1]Valuta adatok'!E3 &lt;&gt; "", '[1]Valuta adatok'!E3,"")</f>
        <v>EUR</v>
      </c>
      <c r="B4" s="1">
        <f ca="1">ABS(SUMIFS(tranzakciok!D:D, tranzakciok!B:B,"Eladás", tranzakciok!C:C,osszesito!$A4, tranzakciok!A:A,osszesito!$B$1))</f>
        <v>0</v>
      </c>
      <c r="C4" s="1">
        <f ca="1">(COUNTIFS(tranzakciok!B:B,"Eladás", tranzakciok!C:C,osszesito!$A4, tranzakciok!A:A,osszesito!$B$1))</f>
        <v>0</v>
      </c>
      <c r="D4" s="1">
        <f ca="1">ABS(SUMIFS(tranzakciok!D:D, tranzakciok!B:B,"Vétel", tranzakciok!C:C,osszesito!$A4, tranzakciok!A:A,osszesito!$B$1))</f>
        <v>0</v>
      </c>
      <c r="E4" s="1">
        <f ca="1">(COUNTIFS(tranzakciok!B:B,"Vétel", tranzakciok!C:C,osszesito!$A4, tranzakciok!A:A,osszesito!$B$1))</f>
        <v>0</v>
      </c>
      <c r="F4" s="1">
        <f t="shared" ref="F4:F6" ca="1" si="0">B4+D4</f>
        <v>0</v>
      </c>
      <c r="G4">
        <f ca="1">D4-B4</f>
        <v>0</v>
      </c>
    </row>
    <row r="5" spans="1:7">
      <c r="A5" s="2" t="str">
        <f>IF('[1]Valuta adatok'!E4 &lt;&gt; "", '[1]Valuta adatok'!E4,"")</f>
        <v>CAD</v>
      </c>
      <c r="B5" s="1">
        <f ca="1">ABS(SUMIFS(tranzakciok!D:D, tranzakciok!B:B,"Eladás", tranzakciok!C:C,osszesito!$A5, tranzakciok!A:A,osszesito!$B$1))</f>
        <v>0</v>
      </c>
      <c r="C5" s="1">
        <f ca="1">(COUNTIFS(tranzakciok!B:B,"Eladás", tranzakciok!C:C,osszesito!$A5, tranzakciok!A:A,osszesito!$B$1))</f>
        <v>0</v>
      </c>
      <c r="D5" s="1">
        <f ca="1">ABS(SUMIFS(tranzakciok!D:D, tranzakciok!B:B,"Vétel", tranzakciok!C:C,osszesito!$A5, tranzakciok!A:A,osszesito!$B$1))</f>
        <v>0</v>
      </c>
      <c r="E5" s="1">
        <f ca="1">(COUNTIFS(tranzakciok!B:B,"Vétel", tranzakciok!C:C,osszesito!$A5, tranzakciok!A:A,osszesito!$B$1))</f>
        <v>0</v>
      </c>
      <c r="F5" s="1">
        <f t="shared" ca="1" si="0"/>
        <v>0</v>
      </c>
      <c r="G5">
        <f t="shared" ref="G5:G6" ca="1" si="1">D5-B5</f>
        <v>0</v>
      </c>
    </row>
    <row r="6" spans="1:7">
      <c r="A6" s="2" t="str">
        <f>IF('[1]Valuta adatok'!E5 &lt;&gt; "", '[1]Valuta adatok'!E5,"")</f>
        <v>HUF</v>
      </c>
      <c r="B6" s="1">
        <f ca="1">ABS(SUMIFS(tranzakciok!D:D, tranzakciok!B:B,"Eladás", tranzakciok!C:C,osszesito!$A6, tranzakciok!A:A,osszesito!$B$1))</f>
        <v>0</v>
      </c>
      <c r="C6" s="1">
        <f ca="1">(COUNTIFS(tranzakciok!B:B,"Eladás", tranzakciok!C:C,osszesito!$A6, tranzakciok!A:A,osszesito!$B$1))</f>
        <v>0</v>
      </c>
      <c r="D6" s="1">
        <f ca="1">ABS(SUMIFS(tranzakciok!D:D, tranzakciok!B:B,"Vétel", tranzakciok!C:C,osszesito!$A6, tranzakciok!A:A,osszesito!$B$1))</f>
        <v>0</v>
      </c>
      <c r="E6" s="1">
        <f ca="1">(COUNTIFS(tranzakciok!B:B,"Vétel", tranzakciok!C:C,osszesito!$A6, tranzakciok!A:A,osszesito!$B$1))</f>
        <v>0</v>
      </c>
      <c r="F6" s="1">
        <f t="shared" ca="1" si="0"/>
        <v>0</v>
      </c>
      <c r="G6">
        <f t="shared" ca="1" si="1"/>
        <v>0</v>
      </c>
    </row>
    <row r="7" spans="1:7">
      <c r="A7" s="9" t="s">
        <v>11</v>
      </c>
      <c r="B7" s="9">
        <f ca="1">ABS(SUMIFS(tranzakciok!E:E, tranzakciok!B:B,"vétel", tranzakciok!A:A,osszesito!$B$1))</f>
        <v>0</v>
      </c>
      <c r="C7" s="9">
        <f ca="1">SUM(E3:E6)</f>
        <v>0</v>
      </c>
      <c r="D7" s="9">
        <f ca="1">ABS(SUMIFS(tranzakciok!E:E, tranzakciok!B:B,"Eladás", tranzakciok!A:A,osszesito!$B$1))</f>
        <v>0</v>
      </c>
      <c r="E7" s="9">
        <f ca="1">SUM(C3:C6)</f>
        <v>0</v>
      </c>
      <c r="F7" s="9">
        <f t="shared" ref="F7" ca="1" si="2">B7+D7</f>
        <v>0</v>
      </c>
      <c r="G7">
        <f ca="1">D7-B7</f>
        <v>0</v>
      </c>
    </row>
    <row r="8" spans="1:7">
      <c r="G8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napiOsszesitesBtn">
          <controlPr defaultSize="0" autoLine="0" r:id="rId4">
            <anchor moveWithCells="1">
              <from>
                <xdr:col>6</xdr:col>
                <xdr:colOff>60960</xdr:colOff>
                <xdr:row>2</xdr:row>
                <xdr:rowOff>160020</xdr:rowOff>
              </from>
              <to>
                <xdr:col>6</xdr:col>
                <xdr:colOff>1242060</xdr:colOff>
                <xdr:row>4</xdr:row>
                <xdr:rowOff>144780</xdr:rowOff>
              </to>
            </anchor>
          </controlPr>
        </control>
      </mc:Choice>
      <mc:Fallback>
        <control shapeId="6146" r:id="rId3" name="napiOsszesites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zoomScale="160" zoomScaleNormal="160" workbookViewId="0">
      <selection activeCell="D3" sqref="D3"/>
    </sheetView>
  </sheetViews>
  <sheetFormatPr defaultRowHeight="14.4"/>
  <cols>
    <col min="2" max="2" width="10.6640625" bestFit="1" customWidth="1"/>
  </cols>
  <sheetData>
    <row r="1" spans="1:2">
      <c r="A1" s="2" t="s">
        <v>16</v>
      </c>
      <c r="B1" s="2" t="s">
        <v>17</v>
      </c>
    </row>
    <row r="2" spans="1:2">
      <c r="A2" s="1" t="s">
        <v>2</v>
      </c>
      <c r="B2" s="1">
        <v>19950</v>
      </c>
    </row>
    <row r="3" spans="1:2">
      <c r="A3" s="1" t="s">
        <v>3</v>
      </c>
      <c r="B3" s="1">
        <v>18640</v>
      </c>
    </row>
    <row r="4" spans="1:2">
      <c r="A4" s="1" t="s">
        <v>4</v>
      </c>
      <c r="B4" s="1">
        <v>20000</v>
      </c>
    </row>
    <row r="5" spans="1:2">
      <c r="A5" s="1" t="s">
        <v>5</v>
      </c>
      <c r="B5" s="1">
        <v>20000</v>
      </c>
    </row>
    <row r="6" spans="1:2">
      <c r="A6" s="1" t="s">
        <v>11</v>
      </c>
      <c r="B6" s="1">
        <v>26989.7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61"/>
  <sheetViews>
    <sheetView workbookViewId="0">
      <selection activeCell="B3" sqref="B3"/>
    </sheetView>
  </sheetViews>
  <sheetFormatPr defaultRowHeight="14.4"/>
  <cols>
    <col min="1" max="2" width="21.109375" bestFit="1" customWidth="1"/>
    <col min="3" max="3" width="27.6640625" bestFit="1" customWidth="1"/>
    <col min="4" max="4" width="22.6640625" bestFit="1" customWidth="1"/>
    <col min="5" max="5" width="27.109375" bestFit="1" customWidth="1"/>
    <col min="6" max="7" width="16.33203125" bestFit="1" customWidth="1"/>
    <col min="8" max="9" width="16.33203125" customWidth="1"/>
    <col min="12" max="12" width="15.33203125" bestFit="1" customWidth="1"/>
    <col min="13" max="13" width="14.109375" bestFit="1" customWidth="1"/>
  </cols>
  <sheetData>
    <row r="1" spans="1:13">
      <c r="A1" s="14" t="s">
        <v>6</v>
      </c>
      <c r="B1" s="12" t="s">
        <v>64</v>
      </c>
      <c r="C1" s="12" t="s">
        <v>65</v>
      </c>
      <c r="D1" s="12" t="s">
        <v>19</v>
      </c>
      <c r="E1" s="12" t="s">
        <v>12</v>
      </c>
      <c r="F1" s="12" t="s">
        <v>10</v>
      </c>
      <c r="G1" s="13" t="s">
        <v>27</v>
      </c>
      <c r="H1" s="13" t="s">
        <v>28</v>
      </c>
      <c r="I1" s="13"/>
      <c r="J1" s="12" t="s">
        <v>27</v>
      </c>
      <c r="K1" s="12" t="s">
        <v>24</v>
      </c>
      <c r="L1" s="12" t="s">
        <v>25</v>
      </c>
      <c r="M1" s="12" t="s">
        <v>26</v>
      </c>
    </row>
    <row r="2" spans="1:13">
      <c r="A2" s="7">
        <v>45403</v>
      </c>
      <c r="B2">
        <v>60</v>
      </c>
      <c r="C2">
        <v>1</v>
      </c>
      <c r="D2">
        <v>0</v>
      </c>
      <c r="E2">
        <v>0</v>
      </c>
      <c r="F2">
        <v>60</v>
      </c>
      <c r="G2">
        <v>2024</v>
      </c>
      <c r="H2">
        <v>5</v>
      </c>
      <c r="J2">
        <v>2022</v>
      </c>
      <c r="K2">
        <f>MONTH(1)</f>
        <v>1</v>
      </c>
      <c r="L2">
        <f>SUMIFS(B:B,G:G,J2,H:H,K2)</f>
        <v>0</v>
      </c>
      <c r="M2">
        <f>SUMIFS(D:D,G:G,J2,H:H,K2)</f>
        <v>0</v>
      </c>
    </row>
    <row r="3" spans="1:13">
      <c r="A3" s="7">
        <v>45404</v>
      </c>
      <c r="B3">
        <v>1300</v>
      </c>
      <c r="C3">
        <v>2</v>
      </c>
      <c r="D3">
        <v>0</v>
      </c>
      <c r="E3">
        <v>0</v>
      </c>
      <c r="F3">
        <v>1300</v>
      </c>
      <c r="J3">
        <v>2022</v>
      </c>
      <c r="K3">
        <f>K2+1</f>
        <v>2</v>
      </c>
      <c r="L3">
        <f t="shared" ref="L3:L60" si="0">SUMIFS(B:B,G:G,J3,H:H,K3)</f>
        <v>0</v>
      </c>
      <c r="M3">
        <f t="shared" ref="M3:M28" si="1">SUMIFS(D:D,G:G,J3,H:H,K3)</f>
        <v>0</v>
      </c>
    </row>
    <row r="4" spans="1:13">
      <c r="A4" s="7">
        <v>45439</v>
      </c>
      <c r="J4">
        <v>2022</v>
      </c>
      <c r="K4">
        <f t="shared" ref="K4:K13" si="2">K3+1</f>
        <v>3</v>
      </c>
      <c r="L4">
        <f t="shared" si="0"/>
        <v>0</v>
      </c>
      <c r="M4">
        <f t="shared" si="1"/>
        <v>0</v>
      </c>
    </row>
    <row r="5" spans="1:13">
      <c r="A5" s="7">
        <v>45440</v>
      </c>
      <c r="J5">
        <v>2022</v>
      </c>
      <c r="K5">
        <f t="shared" si="2"/>
        <v>4</v>
      </c>
      <c r="L5">
        <f t="shared" si="0"/>
        <v>0</v>
      </c>
      <c r="M5">
        <f t="shared" si="1"/>
        <v>0</v>
      </c>
    </row>
    <row r="6" spans="1:13">
      <c r="J6">
        <v>2022</v>
      </c>
      <c r="K6">
        <f t="shared" si="2"/>
        <v>5</v>
      </c>
      <c r="L6">
        <f t="shared" si="0"/>
        <v>0</v>
      </c>
      <c r="M6">
        <f t="shared" si="1"/>
        <v>0</v>
      </c>
    </row>
    <row r="7" spans="1:13">
      <c r="J7">
        <v>2022</v>
      </c>
      <c r="K7">
        <f t="shared" si="2"/>
        <v>6</v>
      </c>
      <c r="L7">
        <f t="shared" si="0"/>
        <v>0</v>
      </c>
      <c r="M7">
        <f t="shared" si="1"/>
        <v>0</v>
      </c>
    </row>
    <row r="8" spans="1:13">
      <c r="H8" t="s">
        <v>29</v>
      </c>
      <c r="J8">
        <v>2022</v>
      </c>
      <c r="K8">
        <f t="shared" si="2"/>
        <v>7</v>
      </c>
      <c r="L8">
        <f t="shared" si="0"/>
        <v>0</v>
      </c>
      <c r="M8">
        <f t="shared" si="1"/>
        <v>0</v>
      </c>
    </row>
    <row r="9" spans="1:13">
      <c r="J9">
        <v>2022</v>
      </c>
      <c r="K9">
        <f t="shared" si="2"/>
        <v>8</v>
      </c>
      <c r="L9">
        <f t="shared" si="0"/>
        <v>0</v>
      </c>
      <c r="M9">
        <f t="shared" si="1"/>
        <v>0</v>
      </c>
    </row>
    <row r="10" spans="1:13">
      <c r="J10">
        <v>2022</v>
      </c>
      <c r="K10">
        <f t="shared" si="2"/>
        <v>9</v>
      </c>
      <c r="L10">
        <f t="shared" si="0"/>
        <v>0</v>
      </c>
      <c r="M10">
        <f t="shared" si="1"/>
        <v>0</v>
      </c>
    </row>
    <row r="11" spans="1:13">
      <c r="J11">
        <v>2022</v>
      </c>
      <c r="K11">
        <f t="shared" si="2"/>
        <v>10</v>
      </c>
      <c r="L11">
        <f t="shared" si="0"/>
        <v>0</v>
      </c>
      <c r="M11">
        <f t="shared" si="1"/>
        <v>0</v>
      </c>
    </row>
    <row r="12" spans="1:13">
      <c r="J12">
        <v>2022</v>
      </c>
      <c r="K12">
        <f t="shared" si="2"/>
        <v>11</v>
      </c>
      <c r="L12">
        <f t="shared" si="0"/>
        <v>0</v>
      </c>
      <c r="M12">
        <f t="shared" si="1"/>
        <v>0</v>
      </c>
    </row>
    <row r="13" spans="1:13">
      <c r="J13">
        <v>2022</v>
      </c>
      <c r="K13">
        <f t="shared" si="2"/>
        <v>12</v>
      </c>
      <c r="L13">
        <f t="shared" si="0"/>
        <v>0</v>
      </c>
      <c r="M13">
        <f t="shared" si="1"/>
        <v>0</v>
      </c>
    </row>
    <row r="14" spans="1:13">
      <c r="J14">
        <v>2023</v>
      </c>
      <c r="K14">
        <f>MONTH(1)</f>
        <v>1</v>
      </c>
      <c r="L14">
        <f t="shared" si="0"/>
        <v>0</v>
      </c>
      <c r="M14">
        <f t="shared" si="1"/>
        <v>0</v>
      </c>
    </row>
    <row r="15" spans="1:13">
      <c r="J15">
        <v>2023</v>
      </c>
      <c r="K15">
        <f>K14+1</f>
        <v>2</v>
      </c>
      <c r="L15">
        <f t="shared" si="0"/>
        <v>0</v>
      </c>
      <c r="M15">
        <f t="shared" si="1"/>
        <v>0</v>
      </c>
    </row>
    <row r="16" spans="1:13">
      <c r="J16">
        <v>2023</v>
      </c>
      <c r="K16">
        <f t="shared" ref="K16:K25" si="3">K15+1</f>
        <v>3</v>
      </c>
      <c r="L16">
        <f t="shared" si="0"/>
        <v>0</v>
      </c>
      <c r="M16">
        <f t="shared" si="1"/>
        <v>0</v>
      </c>
    </row>
    <row r="17" spans="10:13">
      <c r="J17">
        <v>2023</v>
      </c>
      <c r="K17">
        <f t="shared" si="3"/>
        <v>4</v>
      </c>
      <c r="L17">
        <f t="shared" si="0"/>
        <v>0</v>
      </c>
      <c r="M17">
        <f t="shared" si="1"/>
        <v>0</v>
      </c>
    </row>
    <row r="18" spans="10:13">
      <c r="J18">
        <v>2023</v>
      </c>
      <c r="K18">
        <f t="shared" si="3"/>
        <v>5</v>
      </c>
      <c r="L18">
        <f t="shared" si="0"/>
        <v>0</v>
      </c>
      <c r="M18">
        <f t="shared" si="1"/>
        <v>0</v>
      </c>
    </row>
    <row r="19" spans="10:13">
      <c r="J19">
        <v>2023</v>
      </c>
      <c r="K19">
        <f t="shared" si="3"/>
        <v>6</v>
      </c>
      <c r="L19">
        <f t="shared" si="0"/>
        <v>0</v>
      </c>
      <c r="M19">
        <f t="shared" si="1"/>
        <v>0</v>
      </c>
    </row>
    <row r="20" spans="10:13">
      <c r="J20">
        <v>2023</v>
      </c>
      <c r="K20">
        <f t="shared" si="3"/>
        <v>7</v>
      </c>
      <c r="L20">
        <f t="shared" si="0"/>
        <v>0</v>
      </c>
      <c r="M20">
        <f t="shared" si="1"/>
        <v>0</v>
      </c>
    </row>
    <row r="21" spans="10:13">
      <c r="J21">
        <v>2023</v>
      </c>
      <c r="K21">
        <f t="shared" si="3"/>
        <v>8</v>
      </c>
      <c r="L21">
        <f t="shared" si="0"/>
        <v>0</v>
      </c>
      <c r="M21">
        <f t="shared" si="1"/>
        <v>0</v>
      </c>
    </row>
    <row r="22" spans="10:13">
      <c r="J22">
        <v>2023</v>
      </c>
      <c r="K22">
        <f t="shared" si="3"/>
        <v>9</v>
      </c>
      <c r="L22">
        <f t="shared" si="0"/>
        <v>0</v>
      </c>
      <c r="M22">
        <f t="shared" si="1"/>
        <v>0</v>
      </c>
    </row>
    <row r="23" spans="10:13">
      <c r="J23">
        <v>2023</v>
      </c>
      <c r="K23">
        <f t="shared" si="3"/>
        <v>10</v>
      </c>
      <c r="L23">
        <f t="shared" si="0"/>
        <v>0</v>
      </c>
      <c r="M23">
        <f t="shared" si="1"/>
        <v>0</v>
      </c>
    </row>
    <row r="24" spans="10:13">
      <c r="J24">
        <v>2023</v>
      </c>
      <c r="K24">
        <f t="shared" si="3"/>
        <v>11</v>
      </c>
      <c r="L24">
        <f t="shared" si="0"/>
        <v>0</v>
      </c>
      <c r="M24">
        <f t="shared" si="1"/>
        <v>0</v>
      </c>
    </row>
    <row r="25" spans="10:13" ht="15" thickBot="1">
      <c r="J25">
        <v>2023</v>
      </c>
      <c r="K25">
        <f t="shared" si="3"/>
        <v>12</v>
      </c>
      <c r="L25">
        <f t="shared" si="0"/>
        <v>0</v>
      </c>
      <c r="M25">
        <f t="shared" si="1"/>
        <v>0</v>
      </c>
    </row>
    <row r="26" spans="10:13">
      <c r="J26" s="36">
        <v>2024</v>
      </c>
      <c r="K26" s="37">
        <f>MONTH(1)</f>
        <v>1</v>
      </c>
      <c r="L26" s="37">
        <f t="shared" si="0"/>
        <v>0</v>
      </c>
      <c r="M26" s="38">
        <f t="shared" si="1"/>
        <v>0</v>
      </c>
    </row>
    <row r="27" spans="10:13">
      <c r="J27" s="39">
        <v>2024</v>
      </c>
      <c r="K27" s="40">
        <f>K26+1</f>
        <v>2</v>
      </c>
      <c r="L27" s="40">
        <f t="shared" si="0"/>
        <v>0</v>
      </c>
      <c r="M27" s="41">
        <f t="shared" si="1"/>
        <v>0</v>
      </c>
    </row>
    <row r="28" spans="10:13">
      <c r="J28" s="39">
        <v>2024</v>
      </c>
      <c r="K28" s="40">
        <f t="shared" ref="K28:K49" si="4">K27+1</f>
        <v>3</v>
      </c>
      <c r="L28" s="40">
        <f t="shared" si="0"/>
        <v>0</v>
      </c>
      <c r="M28" s="41">
        <f t="shared" si="1"/>
        <v>0</v>
      </c>
    </row>
    <row r="29" spans="10:13">
      <c r="J29" s="39">
        <v>2024</v>
      </c>
      <c r="K29" s="40">
        <f t="shared" si="4"/>
        <v>4</v>
      </c>
      <c r="L29" s="40">
        <f>SUMIFS(B:B,G:G,J29,H:H,K29)</f>
        <v>0</v>
      </c>
      <c r="M29" s="41">
        <f>SUMIFS(D:D,G:G,J29,H:H,K29)</f>
        <v>0</v>
      </c>
    </row>
    <row r="30" spans="10:13">
      <c r="J30" s="39">
        <v>2024</v>
      </c>
      <c r="K30" s="40">
        <f t="shared" si="4"/>
        <v>5</v>
      </c>
      <c r="L30" s="40">
        <f t="shared" si="0"/>
        <v>60</v>
      </c>
      <c r="M30" s="41">
        <f t="shared" ref="M30:M61" si="5">SUMIFS(D:D,G:G,J30,H:H,K30)</f>
        <v>0</v>
      </c>
    </row>
    <row r="31" spans="10:13">
      <c r="J31" s="39">
        <v>2024</v>
      </c>
      <c r="K31" s="40">
        <f t="shared" si="4"/>
        <v>6</v>
      </c>
      <c r="L31" s="40">
        <f t="shared" si="0"/>
        <v>0</v>
      </c>
      <c r="M31" s="41">
        <f t="shared" si="5"/>
        <v>0</v>
      </c>
    </row>
    <row r="32" spans="10:13" ht="15" thickBot="1">
      <c r="J32" s="42">
        <v>2024</v>
      </c>
      <c r="K32" s="43">
        <f t="shared" si="4"/>
        <v>7</v>
      </c>
      <c r="L32" s="43">
        <f t="shared" si="0"/>
        <v>0</v>
      </c>
      <c r="M32" s="44">
        <f t="shared" si="5"/>
        <v>0</v>
      </c>
    </row>
    <row r="33" spans="10:13">
      <c r="J33">
        <v>2024</v>
      </c>
      <c r="K33">
        <f t="shared" si="4"/>
        <v>8</v>
      </c>
      <c r="L33">
        <f t="shared" si="0"/>
        <v>0</v>
      </c>
      <c r="M33">
        <f t="shared" si="5"/>
        <v>0</v>
      </c>
    </row>
    <row r="34" spans="10:13">
      <c r="J34">
        <v>2024</v>
      </c>
      <c r="K34">
        <f t="shared" si="4"/>
        <v>9</v>
      </c>
      <c r="L34">
        <f t="shared" si="0"/>
        <v>0</v>
      </c>
      <c r="M34">
        <f t="shared" si="5"/>
        <v>0</v>
      </c>
    </row>
    <row r="35" spans="10:13">
      <c r="J35">
        <v>2024</v>
      </c>
      <c r="K35">
        <f t="shared" si="4"/>
        <v>10</v>
      </c>
      <c r="L35">
        <f t="shared" si="0"/>
        <v>0</v>
      </c>
      <c r="M35">
        <f t="shared" si="5"/>
        <v>0</v>
      </c>
    </row>
    <row r="36" spans="10:13">
      <c r="J36">
        <v>2024</v>
      </c>
      <c r="K36">
        <f t="shared" si="4"/>
        <v>11</v>
      </c>
      <c r="L36">
        <f t="shared" si="0"/>
        <v>0</v>
      </c>
      <c r="M36">
        <f t="shared" si="5"/>
        <v>0</v>
      </c>
    </row>
    <row r="37" spans="10:13">
      <c r="J37">
        <v>2024</v>
      </c>
      <c r="K37">
        <f t="shared" si="4"/>
        <v>12</v>
      </c>
      <c r="L37">
        <f t="shared" si="0"/>
        <v>0</v>
      </c>
      <c r="M37">
        <f t="shared" si="5"/>
        <v>0</v>
      </c>
    </row>
    <row r="38" spans="10:13">
      <c r="J38">
        <v>2025</v>
      </c>
      <c r="K38">
        <f>MONTH(1)</f>
        <v>1</v>
      </c>
      <c r="L38">
        <f t="shared" si="0"/>
        <v>0</v>
      </c>
      <c r="M38">
        <f t="shared" si="5"/>
        <v>0</v>
      </c>
    </row>
    <row r="39" spans="10:13">
      <c r="J39">
        <v>2025</v>
      </c>
      <c r="K39">
        <f>K38+1</f>
        <v>2</v>
      </c>
      <c r="L39">
        <f t="shared" si="0"/>
        <v>0</v>
      </c>
      <c r="M39">
        <f t="shared" si="5"/>
        <v>0</v>
      </c>
    </row>
    <row r="40" spans="10:13">
      <c r="J40">
        <v>2025</v>
      </c>
      <c r="K40">
        <f t="shared" si="4"/>
        <v>3</v>
      </c>
      <c r="L40">
        <f t="shared" si="0"/>
        <v>0</v>
      </c>
      <c r="M40">
        <f t="shared" si="5"/>
        <v>0</v>
      </c>
    </row>
    <row r="41" spans="10:13">
      <c r="J41">
        <v>2025</v>
      </c>
      <c r="K41">
        <f t="shared" si="4"/>
        <v>4</v>
      </c>
      <c r="L41">
        <f t="shared" si="0"/>
        <v>0</v>
      </c>
      <c r="M41">
        <f t="shared" si="5"/>
        <v>0</v>
      </c>
    </row>
    <row r="42" spans="10:13">
      <c r="J42">
        <v>2025</v>
      </c>
      <c r="K42">
        <f t="shared" si="4"/>
        <v>5</v>
      </c>
      <c r="L42">
        <f t="shared" si="0"/>
        <v>0</v>
      </c>
      <c r="M42">
        <f t="shared" si="5"/>
        <v>0</v>
      </c>
    </row>
    <row r="43" spans="10:13">
      <c r="J43">
        <v>2025</v>
      </c>
      <c r="K43">
        <f t="shared" si="4"/>
        <v>6</v>
      </c>
      <c r="L43">
        <f t="shared" si="0"/>
        <v>0</v>
      </c>
      <c r="M43">
        <f t="shared" si="5"/>
        <v>0</v>
      </c>
    </row>
    <row r="44" spans="10:13">
      <c r="J44">
        <v>2025</v>
      </c>
      <c r="K44">
        <f t="shared" si="4"/>
        <v>7</v>
      </c>
      <c r="L44">
        <f t="shared" si="0"/>
        <v>0</v>
      </c>
      <c r="M44">
        <f t="shared" si="5"/>
        <v>0</v>
      </c>
    </row>
    <row r="45" spans="10:13">
      <c r="J45">
        <v>2025</v>
      </c>
      <c r="K45">
        <f t="shared" si="4"/>
        <v>8</v>
      </c>
      <c r="L45">
        <f t="shared" si="0"/>
        <v>0</v>
      </c>
      <c r="M45">
        <f t="shared" si="5"/>
        <v>0</v>
      </c>
    </row>
    <row r="46" spans="10:13">
      <c r="J46">
        <v>2025</v>
      </c>
      <c r="K46">
        <f t="shared" si="4"/>
        <v>9</v>
      </c>
      <c r="L46">
        <f t="shared" si="0"/>
        <v>0</v>
      </c>
      <c r="M46">
        <f t="shared" si="5"/>
        <v>0</v>
      </c>
    </row>
    <row r="47" spans="10:13">
      <c r="J47">
        <v>2025</v>
      </c>
      <c r="K47">
        <f t="shared" si="4"/>
        <v>10</v>
      </c>
      <c r="L47">
        <f t="shared" si="0"/>
        <v>0</v>
      </c>
      <c r="M47">
        <f t="shared" si="5"/>
        <v>0</v>
      </c>
    </row>
    <row r="48" spans="10:13">
      <c r="J48">
        <v>2025</v>
      </c>
      <c r="K48">
        <f t="shared" si="4"/>
        <v>11</v>
      </c>
      <c r="L48">
        <f t="shared" si="0"/>
        <v>0</v>
      </c>
      <c r="M48">
        <f t="shared" si="5"/>
        <v>0</v>
      </c>
    </row>
    <row r="49" spans="10:13">
      <c r="J49">
        <v>2025</v>
      </c>
      <c r="K49">
        <f t="shared" si="4"/>
        <v>12</v>
      </c>
      <c r="L49">
        <f t="shared" si="0"/>
        <v>0</v>
      </c>
      <c r="M49">
        <f t="shared" si="5"/>
        <v>0</v>
      </c>
    </row>
    <row r="50" spans="10:13">
      <c r="J50">
        <v>2026</v>
      </c>
      <c r="K50">
        <f>MONTH(1)</f>
        <v>1</v>
      </c>
      <c r="L50">
        <f t="shared" si="0"/>
        <v>0</v>
      </c>
      <c r="M50">
        <f t="shared" si="5"/>
        <v>0</v>
      </c>
    </row>
    <row r="51" spans="10:13">
      <c r="J51">
        <v>2026</v>
      </c>
      <c r="K51">
        <f>K50+1</f>
        <v>2</v>
      </c>
      <c r="L51">
        <f t="shared" si="0"/>
        <v>0</v>
      </c>
      <c r="M51">
        <f t="shared" si="5"/>
        <v>0</v>
      </c>
    </row>
    <row r="52" spans="10:13">
      <c r="J52">
        <v>2026</v>
      </c>
      <c r="K52">
        <f t="shared" ref="K52:K61" si="6">K51+1</f>
        <v>3</v>
      </c>
      <c r="L52">
        <f t="shared" si="0"/>
        <v>0</v>
      </c>
      <c r="M52">
        <f t="shared" si="5"/>
        <v>0</v>
      </c>
    </row>
    <row r="53" spans="10:13">
      <c r="J53">
        <v>2026</v>
      </c>
      <c r="K53">
        <f t="shared" si="6"/>
        <v>4</v>
      </c>
      <c r="L53">
        <f t="shared" si="0"/>
        <v>0</v>
      </c>
      <c r="M53">
        <f t="shared" si="5"/>
        <v>0</v>
      </c>
    </row>
    <row r="54" spans="10:13">
      <c r="J54">
        <v>2026</v>
      </c>
      <c r="K54">
        <f t="shared" si="6"/>
        <v>5</v>
      </c>
      <c r="L54">
        <f t="shared" si="0"/>
        <v>0</v>
      </c>
      <c r="M54">
        <f t="shared" si="5"/>
        <v>0</v>
      </c>
    </row>
    <row r="55" spans="10:13">
      <c r="J55">
        <v>2026</v>
      </c>
      <c r="K55">
        <f t="shared" si="6"/>
        <v>6</v>
      </c>
      <c r="L55">
        <f t="shared" si="0"/>
        <v>0</v>
      </c>
      <c r="M55">
        <f t="shared" si="5"/>
        <v>0</v>
      </c>
    </row>
    <row r="56" spans="10:13">
      <c r="J56">
        <v>2026</v>
      </c>
      <c r="K56">
        <f t="shared" si="6"/>
        <v>7</v>
      </c>
      <c r="L56">
        <f t="shared" si="0"/>
        <v>0</v>
      </c>
      <c r="M56">
        <f t="shared" si="5"/>
        <v>0</v>
      </c>
    </row>
    <row r="57" spans="10:13">
      <c r="J57">
        <v>2026</v>
      </c>
      <c r="K57">
        <f t="shared" si="6"/>
        <v>8</v>
      </c>
      <c r="L57">
        <f t="shared" si="0"/>
        <v>0</v>
      </c>
      <c r="M57">
        <f t="shared" si="5"/>
        <v>0</v>
      </c>
    </row>
    <row r="58" spans="10:13">
      <c r="J58">
        <v>2026</v>
      </c>
      <c r="K58">
        <f t="shared" si="6"/>
        <v>9</v>
      </c>
      <c r="L58">
        <f t="shared" si="0"/>
        <v>0</v>
      </c>
      <c r="M58">
        <f t="shared" si="5"/>
        <v>0</v>
      </c>
    </row>
    <row r="59" spans="10:13">
      <c r="J59">
        <v>2026</v>
      </c>
      <c r="K59">
        <f t="shared" si="6"/>
        <v>10</v>
      </c>
      <c r="L59">
        <f t="shared" si="0"/>
        <v>0</v>
      </c>
      <c r="M59">
        <f t="shared" si="5"/>
        <v>0</v>
      </c>
    </row>
    <row r="60" spans="10:13">
      <c r="J60">
        <v>2026</v>
      </c>
      <c r="K60">
        <f t="shared" si="6"/>
        <v>11</v>
      </c>
      <c r="L60">
        <f t="shared" si="0"/>
        <v>0</v>
      </c>
      <c r="M60">
        <f t="shared" si="5"/>
        <v>0</v>
      </c>
    </row>
    <row r="61" spans="10:13">
      <c r="J61">
        <v>2026</v>
      </c>
      <c r="K61">
        <f t="shared" si="6"/>
        <v>12</v>
      </c>
      <c r="L61">
        <f>SUMIFS(B:B,G:G,J61,H:H,K61)</f>
        <v>0</v>
      </c>
      <c r="M61">
        <f t="shared" si="5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M49"/>
  <sheetViews>
    <sheetView tabSelected="1" zoomScale="85" zoomScaleNormal="85" workbookViewId="0">
      <selection activeCell="W24" sqref="W24"/>
    </sheetView>
  </sheetViews>
  <sheetFormatPr defaultRowHeight="14.4"/>
  <cols>
    <col min="1" max="2" width="8.88671875" style="19"/>
    <col min="3" max="3" width="12.44140625" style="19" bestFit="1" customWidth="1"/>
    <col min="4" max="4" width="8.88671875" style="19"/>
    <col min="5" max="5" width="12.109375" style="19" bestFit="1" customWidth="1"/>
    <col min="6" max="7" width="11" style="19" bestFit="1" customWidth="1"/>
    <col min="8" max="8" width="20.109375" style="19" bestFit="1" customWidth="1"/>
    <col min="9" max="16384" width="8.88671875" style="19"/>
  </cols>
  <sheetData>
    <row r="1" spans="1:13">
      <c r="J1" s="70"/>
      <c r="K1" s="70"/>
      <c r="L1" s="70"/>
      <c r="M1" s="70"/>
    </row>
    <row r="2" spans="1:13">
      <c r="A2" s="70">
        <v>2</v>
      </c>
      <c r="G2" s="70">
        <v>1</v>
      </c>
      <c r="J2" s="70"/>
      <c r="K2" s="70" t="s">
        <v>22</v>
      </c>
      <c r="L2" s="70" t="s">
        <v>3</v>
      </c>
      <c r="M2" s="70"/>
    </row>
    <row r="3" spans="1:13">
      <c r="G3" s="70" t="s">
        <v>94</v>
      </c>
      <c r="J3" s="70"/>
      <c r="K3" s="70" t="s">
        <v>44</v>
      </c>
      <c r="L3" s="70" t="s">
        <v>5</v>
      </c>
      <c r="M3" s="70"/>
    </row>
    <row r="4" spans="1:13" ht="15" thickBot="1">
      <c r="J4" s="70"/>
      <c r="K4" s="70"/>
      <c r="L4" s="70" t="s">
        <v>2</v>
      </c>
      <c r="M4" s="70"/>
    </row>
    <row r="5" spans="1:13" ht="15" thickBot="1">
      <c r="D5" s="74" t="s">
        <v>59</v>
      </c>
      <c r="E5" s="74" t="s">
        <v>58</v>
      </c>
      <c r="F5" s="74" t="s">
        <v>57</v>
      </c>
      <c r="H5" s="75" t="s">
        <v>56</v>
      </c>
      <c r="I5" s="76">
        <f>AVERAGE($G$21:$G$47)</f>
        <v>56450.189198748893</v>
      </c>
      <c r="J5" s="70"/>
      <c r="K5" s="70"/>
      <c r="L5" s="70" t="s">
        <v>4</v>
      </c>
      <c r="M5" s="70"/>
    </row>
    <row r="6" spans="1:13">
      <c r="D6" s="77">
        <v>0.24018466337718181</v>
      </c>
      <c r="E6" s="77">
        <v>3.329798288652825E-2</v>
      </c>
      <c r="F6" s="77">
        <v>0.64978529617868597</v>
      </c>
      <c r="J6" s="70"/>
      <c r="K6" s="70"/>
      <c r="L6" s="70"/>
      <c r="M6" s="70"/>
    </row>
    <row r="8" spans="1:13">
      <c r="A8" s="78" t="s">
        <v>55</v>
      </c>
      <c r="B8" s="78" t="s">
        <v>54</v>
      </c>
      <c r="C8" s="78" t="s">
        <v>53</v>
      </c>
      <c r="D8" s="78" t="s">
        <v>52</v>
      </c>
      <c r="E8" s="78" t="s">
        <v>51</v>
      </c>
      <c r="F8" s="78" t="s">
        <v>50</v>
      </c>
      <c r="G8" s="78" t="s">
        <v>49</v>
      </c>
    </row>
    <row r="9" spans="1:13" hidden="1">
      <c r="A9" s="79"/>
      <c r="B9" s="79"/>
      <c r="C9" s="79"/>
      <c r="D9" s="79"/>
      <c r="E9" s="79">
        <v>0.8939185308152453</v>
      </c>
    </row>
    <row r="10" spans="1:13" hidden="1">
      <c r="A10" s="79"/>
      <c r="B10" s="79"/>
      <c r="C10" s="79"/>
      <c r="D10" s="79"/>
      <c r="E10" s="79">
        <v>0.62441906042430206</v>
      </c>
    </row>
    <row r="11" spans="1:13" hidden="1">
      <c r="A11" s="79"/>
      <c r="B11" s="79"/>
      <c r="C11" s="79"/>
      <c r="D11" s="79"/>
      <c r="E11" s="79">
        <v>1.0450393515005423</v>
      </c>
    </row>
    <row r="12" spans="1:13" hidden="1">
      <c r="A12" s="79"/>
      <c r="B12" s="79"/>
      <c r="C12" s="79"/>
      <c r="D12" s="79"/>
      <c r="E12" s="79">
        <v>0.69237527119587516</v>
      </c>
    </row>
    <row r="13" spans="1:13" hidden="1">
      <c r="A13" s="79"/>
      <c r="B13" s="79"/>
      <c r="C13" s="79"/>
      <c r="D13" s="79"/>
      <c r="E13" s="79">
        <v>0.45985937356243206</v>
      </c>
    </row>
    <row r="14" spans="1:13" hidden="1">
      <c r="A14" s="79"/>
      <c r="B14" s="79"/>
      <c r="C14" s="79"/>
      <c r="D14" s="79"/>
      <c r="E14" s="79">
        <v>1.3072996503144478</v>
      </c>
    </row>
    <row r="15" spans="1:13" hidden="1">
      <c r="A15" s="79"/>
      <c r="B15" s="79"/>
      <c r="C15" s="79"/>
      <c r="D15" s="79"/>
      <c r="E15" s="79">
        <v>1.7249457068738929</v>
      </c>
    </row>
    <row r="16" spans="1:13" hidden="1">
      <c r="A16" s="79"/>
      <c r="B16" s="79"/>
      <c r="C16" s="79"/>
      <c r="D16" s="79"/>
      <c r="E16" s="79">
        <v>1.09820823058842</v>
      </c>
    </row>
    <row r="17" spans="1:8" hidden="1">
      <c r="A17" s="79"/>
      <c r="B17" s="79"/>
      <c r="C17" s="79"/>
      <c r="D17" s="79"/>
      <c r="E17" s="79">
        <v>0.64960012134828848</v>
      </c>
    </row>
    <row r="18" spans="1:8" hidden="1">
      <c r="A18" s="79"/>
      <c r="B18" s="79"/>
      <c r="C18" s="79"/>
      <c r="D18" s="79"/>
      <c r="E18" s="79">
        <v>1.2972742071008572</v>
      </c>
    </row>
    <row r="19" spans="1:8" hidden="1">
      <c r="A19" s="79"/>
      <c r="B19" s="79"/>
      <c r="C19" s="79"/>
      <c r="D19" s="79"/>
      <c r="E19" s="79">
        <v>1.2374180825624106</v>
      </c>
    </row>
    <row r="20" spans="1:8" hidden="1">
      <c r="A20" s="79"/>
      <c r="B20" s="79"/>
      <c r="C20" s="79">
        <v>199477.86458333331</v>
      </c>
      <c r="D20" s="79">
        <v>3716.3541666666665</v>
      </c>
      <c r="E20" s="79">
        <v>0.96964241371328663</v>
      </c>
    </row>
    <row r="21" spans="1:8">
      <c r="A21" s="80">
        <v>2022.01</v>
      </c>
      <c r="B21" s="19">
        <v>166145</v>
      </c>
      <c r="C21" s="19">
        <f>$D$6*B21/E9+(1-$D$6)*(C20+D20)</f>
        <v>199031.15504874854</v>
      </c>
      <c r="D21" s="19">
        <f>ABS(($E$6*(C21-C20)+(1-$E$6)*D20))</f>
        <v>3577.7325427868686</v>
      </c>
      <c r="E21" s="19">
        <f>$F$6*B21/C21+(1-$F$6)*E9</f>
        <v>0.85548391047759664</v>
      </c>
      <c r="F21" s="19">
        <f>E9*(C20+D20)</f>
        <v>181639.07749515155</v>
      </c>
      <c r="G21" s="19">
        <f>ABS(B21-F21)</f>
        <v>15494.077495151549</v>
      </c>
      <c r="H21" s="19">
        <f>G21/2</f>
        <v>7747.0387475757743</v>
      </c>
    </row>
    <row r="22" spans="1:8">
      <c r="A22" s="80">
        <v>2022.02</v>
      </c>
      <c r="B22" s="19">
        <v>186265</v>
      </c>
      <c r="C22" s="19">
        <f t="shared" ref="C22:C47" si="0">$D$6*B22/E10+(1-$D$6)*(C21+D21)</f>
        <v>225592.73073397591</v>
      </c>
      <c r="D22" s="19">
        <f t="shared" ref="D22:D47" si="1">ABS(($E$6*(C22-C21)+(1-$E$6)*D21))</f>
        <v>4343.0481584105019</v>
      </c>
      <c r="E22" s="19">
        <f t="shared" ref="E22:E47" si="2">$F$6*B22/C22+(1-$F$6)*E10</f>
        <v>0.75518852979357254</v>
      </c>
      <c r="F22" s="19">
        <f t="shared" ref="F22:F48" si="3">E10*(C21+D21)</f>
        <v>126512.85122351957</v>
      </c>
      <c r="G22" s="19">
        <f t="shared" ref="G22:G47" si="4">ABS(B22-F22)</f>
        <v>59752.148776480433</v>
      </c>
      <c r="H22" s="19">
        <f>G22/2</f>
        <v>29876.074388240217</v>
      </c>
    </row>
    <row r="23" spans="1:8">
      <c r="A23" s="80">
        <v>2022.03</v>
      </c>
      <c r="B23" s="19">
        <v>149165</v>
      </c>
      <c r="C23" s="19">
        <f t="shared" si="0"/>
        <v>208991.78982721621</v>
      </c>
      <c r="D23" s="19">
        <f t="shared" si="1"/>
        <v>3645.6555689428296</v>
      </c>
      <c r="E23" s="19">
        <f t="shared" si="2"/>
        <v>0.82976341672619036</v>
      </c>
      <c r="F23" s="19">
        <f t="shared" si="3"/>
        <v>240291.93726047158</v>
      </c>
      <c r="G23" s="19">
        <f t="shared" si="4"/>
        <v>91126.937260471575</v>
      </c>
      <c r="H23" s="19">
        <f t="shared" ref="H23:H48" si="5">G23/2</f>
        <v>45563.468630235788</v>
      </c>
    </row>
    <row r="24" spans="1:8">
      <c r="A24" s="80">
        <v>2022.04</v>
      </c>
      <c r="B24" s="19">
        <v>116625</v>
      </c>
      <c r="C24" s="19">
        <f t="shared" si="0"/>
        <v>202022.35105397657</v>
      </c>
      <c r="D24" s="19">
        <f t="shared" si="1"/>
        <v>3292.1943391979548</v>
      </c>
      <c r="E24" s="19">
        <f t="shared" si="2"/>
        <v>0.61759300051491395</v>
      </c>
      <c r="F24" s="19">
        <f t="shared" si="3"/>
        <v>147224.90892256371</v>
      </c>
      <c r="G24" s="19">
        <f t="shared" si="4"/>
        <v>30599.908922563714</v>
      </c>
      <c r="H24" s="19">
        <f t="shared" si="5"/>
        <v>15299.954461281857</v>
      </c>
    </row>
    <row r="25" spans="1:8">
      <c r="A25" s="80">
        <v>2022.05</v>
      </c>
      <c r="B25" s="19">
        <v>130765</v>
      </c>
      <c r="C25" s="19">
        <f t="shared" si="0"/>
        <v>224299.73193045839</v>
      </c>
      <c r="D25" s="19">
        <f t="shared" si="1"/>
        <v>3924.3627556139795</v>
      </c>
      <c r="E25" s="19">
        <f t="shared" si="2"/>
        <v>0.53986929052584254</v>
      </c>
      <c r="F25" s="19">
        <f t="shared" si="3"/>
        <v>94415.818227760756</v>
      </c>
      <c r="G25" s="19">
        <f t="shared" si="4"/>
        <v>36349.181772239244</v>
      </c>
      <c r="H25" s="19">
        <f t="shared" si="5"/>
        <v>18174.590886119622</v>
      </c>
    </row>
    <row r="26" spans="1:8">
      <c r="A26" s="80">
        <v>2022.06</v>
      </c>
      <c r="B26" s="19">
        <v>155445</v>
      </c>
      <c r="C26" s="19">
        <f t="shared" si="0"/>
        <v>201967.42303607901</v>
      </c>
      <c r="D26" s="19">
        <f t="shared" si="1"/>
        <v>3050.0685523553088</v>
      </c>
      <c r="E26" s="19">
        <f t="shared" si="2"/>
        <v>0.95794529955069518</v>
      </c>
      <c r="F26" s="19">
        <f t="shared" si="3"/>
        <v>298357.27917643386</v>
      </c>
      <c r="G26" s="19">
        <f t="shared" si="4"/>
        <v>142912.27917643386</v>
      </c>
      <c r="H26" s="19">
        <f t="shared" si="5"/>
        <v>71456.139588216931</v>
      </c>
    </row>
    <row r="27" spans="1:8">
      <c r="A27" s="80">
        <v>2022.07</v>
      </c>
      <c r="B27" s="19">
        <v>180220</v>
      </c>
      <c r="C27" s="19">
        <f t="shared" si="0"/>
        <v>180869.60393541039</v>
      </c>
      <c r="D27" s="19">
        <f t="shared" si="1"/>
        <v>2245.992602539111</v>
      </c>
      <c r="E27" s="19">
        <f t="shared" si="2"/>
        <v>1.251552903497771</v>
      </c>
      <c r="F27" s="19">
        <f t="shared" si="3"/>
        <v>353644.04194952425</v>
      </c>
      <c r="G27" s="19">
        <f t="shared" si="4"/>
        <v>173424.04194952425</v>
      </c>
      <c r="H27" s="19">
        <f t="shared" si="5"/>
        <v>86712.020974762127</v>
      </c>
    </row>
    <row r="28" spans="1:8">
      <c r="A28" s="80">
        <v>2022.08</v>
      </c>
      <c r="B28" s="19">
        <v>143775</v>
      </c>
      <c r="C28" s="19">
        <f t="shared" si="0"/>
        <v>170578.48514664022</v>
      </c>
      <c r="D28" s="19">
        <f t="shared" si="1"/>
        <v>1828.5320819847959</v>
      </c>
      <c r="E28" s="19">
        <f t="shared" si="2"/>
        <v>0.93229134471446085</v>
      </c>
      <c r="F28" s="19">
        <f t="shared" si="3"/>
        <v>201099.05526708451</v>
      </c>
      <c r="G28" s="19">
        <f t="shared" si="4"/>
        <v>57324.055267084506</v>
      </c>
      <c r="H28" s="19">
        <f t="shared" si="5"/>
        <v>28662.027633542253</v>
      </c>
    </row>
    <row r="29" spans="1:8">
      <c r="A29" s="80">
        <v>2022.09</v>
      </c>
      <c r="B29" s="19">
        <v>23320</v>
      </c>
      <c r="C29" s="19">
        <f t="shared" si="0"/>
        <v>139619.88700110564</v>
      </c>
      <c r="D29" s="19">
        <f t="shared" si="1"/>
        <v>736.78678077048266</v>
      </c>
      <c r="E29" s="19">
        <f t="shared" si="2"/>
        <v>0.33602984908591882</v>
      </c>
      <c r="F29" s="19">
        <f t="shared" si="3"/>
        <v>111995.61931301128</v>
      </c>
      <c r="G29" s="19">
        <f t="shared" si="4"/>
        <v>88675.619313011281</v>
      </c>
      <c r="H29" s="19">
        <f t="shared" si="5"/>
        <v>44337.80965650564</v>
      </c>
    </row>
    <row r="30" spans="1:8">
      <c r="A30" s="81" t="s">
        <v>92</v>
      </c>
      <c r="B30" s="19">
        <v>164170</v>
      </c>
      <c r="C30" s="19">
        <f t="shared" si="0"/>
        <v>137040.51306170982</v>
      </c>
      <c r="D30" s="19">
        <f t="shared" si="1"/>
        <v>626.36531786140779</v>
      </c>
      <c r="E30" s="19">
        <f t="shared" si="2"/>
        <v>1.2327457857488628</v>
      </c>
      <c r="F30" s="19">
        <f t="shared" si="3"/>
        <v>182081.09269169703</v>
      </c>
      <c r="G30" s="19">
        <f t="shared" si="4"/>
        <v>17911.092691697035</v>
      </c>
      <c r="H30" s="19">
        <f t="shared" si="5"/>
        <v>8955.5463458485174</v>
      </c>
    </row>
    <row r="31" spans="1:8">
      <c r="A31" s="80">
        <v>2022.11</v>
      </c>
      <c r="B31" s="19">
        <v>245302</v>
      </c>
      <c r="C31" s="19">
        <f t="shared" si="0"/>
        <v>152214.88325078721</v>
      </c>
      <c r="D31" s="19">
        <f t="shared" si="1"/>
        <v>1110.7845350962873</v>
      </c>
      <c r="E31" s="19">
        <f t="shared" si="2"/>
        <v>1.4805239491368043</v>
      </c>
      <c r="F31" s="19">
        <f t="shared" si="3"/>
        <v>170351.4846768016</v>
      </c>
      <c r="G31" s="19">
        <f t="shared" si="4"/>
        <v>74950.5153231984</v>
      </c>
      <c r="H31" s="19">
        <f t="shared" si="5"/>
        <v>37475.2576615992</v>
      </c>
    </row>
    <row r="32" spans="1:8">
      <c r="A32" s="80">
        <v>2022.12</v>
      </c>
      <c r="B32" s="19">
        <v>148635</v>
      </c>
      <c r="C32" s="19">
        <f t="shared" si="0"/>
        <v>153316.73294159357</v>
      </c>
      <c r="D32" s="19">
        <f t="shared" si="1"/>
        <v>1110.4870228040272</v>
      </c>
      <c r="E32" s="19">
        <f t="shared" si="2"/>
        <v>0.96952625769983802</v>
      </c>
      <c r="F32" s="19">
        <f t="shared" si="3"/>
        <v>148671.07059610559</v>
      </c>
      <c r="G32" s="19">
        <f t="shared" si="4"/>
        <v>36.070596105593722</v>
      </c>
      <c r="H32" s="19">
        <f t="shared" si="5"/>
        <v>18.035298052796861</v>
      </c>
    </row>
    <row r="33" spans="1:8">
      <c r="A33" s="80">
        <v>2023.01</v>
      </c>
      <c r="B33" s="19">
        <v>118020</v>
      </c>
      <c r="C33" s="19">
        <f t="shared" si="0"/>
        <v>150471.32745660454</v>
      </c>
      <c r="D33" s="19">
        <f t="shared" si="1"/>
        <v>978.76378177858885</v>
      </c>
      <c r="E33" s="19">
        <f t="shared" si="2"/>
        <v>0.8092527028498101</v>
      </c>
      <c r="F33" s="19">
        <f t="shared" si="3"/>
        <v>132110.00201932684</v>
      </c>
      <c r="G33" s="19">
        <f t="shared" si="4"/>
        <v>14090.002019326843</v>
      </c>
      <c r="H33" s="19">
        <f t="shared" si="5"/>
        <v>7045.0010096634214</v>
      </c>
    </row>
    <row r="34" spans="1:8">
      <c r="A34" s="80">
        <v>2023.02</v>
      </c>
      <c r="B34" s="19">
        <v>125285</v>
      </c>
      <c r="C34" s="19">
        <f t="shared" si="0"/>
        <v>154920.49055890972</v>
      </c>
      <c r="D34" s="19">
        <f t="shared" si="1"/>
        <v>1094.3210789629024</v>
      </c>
      <c r="E34" s="19">
        <f t="shared" si="2"/>
        <v>0.78996284876350598</v>
      </c>
      <c r="F34" s="19">
        <f t="shared" si="3"/>
        <v>114373.37173941699</v>
      </c>
      <c r="G34" s="19">
        <f t="shared" si="4"/>
        <v>10911.628260583006</v>
      </c>
      <c r="H34" s="19">
        <f t="shared" si="5"/>
        <v>5455.8141302915028</v>
      </c>
    </row>
    <row r="35" spans="1:8">
      <c r="A35" s="80">
        <v>2023.03</v>
      </c>
      <c r="B35" s="19">
        <v>179225</v>
      </c>
      <c r="C35" s="19">
        <f t="shared" si="0"/>
        <v>170421.20558712803</v>
      </c>
      <c r="D35" s="19">
        <f t="shared" si="1"/>
        <v>1574.0249381417932</v>
      </c>
      <c r="E35" s="19">
        <f t="shared" si="2"/>
        <v>0.97394792443623035</v>
      </c>
      <c r="F35" s="19">
        <f t="shared" si="3"/>
        <v>129455.3831645342</v>
      </c>
      <c r="G35" s="19">
        <f t="shared" si="4"/>
        <v>49769.6168354658</v>
      </c>
      <c r="H35" s="19">
        <f t="shared" si="5"/>
        <v>24884.8084177329</v>
      </c>
    </row>
    <row r="36" spans="1:8">
      <c r="A36" s="80">
        <v>2023.04</v>
      </c>
      <c r="B36" s="19">
        <v>207700</v>
      </c>
      <c r="C36" s="19">
        <f t="shared" si="0"/>
        <v>211460.06729841241</v>
      </c>
      <c r="D36" s="19">
        <f t="shared" si="1"/>
        <v>2888.1243976335254</v>
      </c>
      <c r="E36" s="19">
        <f t="shared" si="2"/>
        <v>0.8545213190772647</v>
      </c>
      <c r="F36" s="19">
        <f t="shared" si="3"/>
        <v>106223.0504943557</v>
      </c>
      <c r="G36" s="19">
        <f t="shared" si="4"/>
        <v>101476.9495056443</v>
      </c>
      <c r="H36" s="19">
        <f t="shared" si="5"/>
        <v>50738.474752822149</v>
      </c>
    </row>
    <row r="37" spans="1:8">
      <c r="A37" s="80">
        <v>2023.05</v>
      </c>
      <c r="B37" s="19">
        <v>115720</v>
      </c>
      <c r="C37" s="19">
        <f t="shared" si="0"/>
        <v>214348.1889481835</v>
      </c>
      <c r="D37" s="19">
        <f t="shared" si="1"/>
        <v>2888.1243061352488</v>
      </c>
      <c r="E37" s="19">
        <f t="shared" si="2"/>
        <v>0.5398692762993953</v>
      </c>
      <c r="F37" s="19">
        <f t="shared" si="3"/>
        <v>115720.00617644162</v>
      </c>
      <c r="G37" s="19">
        <f t="shared" si="4"/>
        <v>6.1764416168443859E-3</v>
      </c>
      <c r="H37" s="19">
        <f t="shared" si="5"/>
        <v>3.0882208084221929E-3</v>
      </c>
    </row>
    <row r="38" spans="1:8">
      <c r="A38" s="80">
        <v>2023.06</v>
      </c>
      <c r="B38" s="19">
        <v>152748</v>
      </c>
      <c r="C38" s="19">
        <f t="shared" si="0"/>
        <v>203357.83519459673</v>
      </c>
      <c r="D38" s="19">
        <f t="shared" si="1"/>
        <v>2425.9989812115673</v>
      </c>
      <c r="E38" s="19">
        <f t="shared" si="2"/>
        <v>0.82355921328464499</v>
      </c>
      <c r="F38" s="19">
        <f t="shared" si="3"/>
        <v>208100.50517369702</v>
      </c>
      <c r="G38" s="19">
        <f t="shared" si="4"/>
        <v>55352.50517369702</v>
      </c>
      <c r="H38" s="19">
        <f t="shared" si="5"/>
        <v>27676.25258684851</v>
      </c>
    </row>
    <row r="39" spans="1:8">
      <c r="A39" s="80">
        <v>2023.07</v>
      </c>
      <c r="B39" s="19">
        <v>256512</v>
      </c>
      <c r="C39" s="19">
        <f t="shared" si="0"/>
        <v>205584.75605600778</v>
      </c>
      <c r="D39" s="19">
        <f t="shared" si="1"/>
        <v>2419.3700813853675</v>
      </c>
      <c r="E39" s="19">
        <f t="shared" si="2"/>
        <v>1.2490616696508088</v>
      </c>
      <c r="F39" s="19">
        <f t="shared" si="3"/>
        <v>257549.35515563673</v>
      </c>
      <c r="G39" s="19">
        <f t="shared" si="4"/>
        <v>1037.3551556367311</v>
      </c>
      <c r="H39" s="19">
        <f t="shared" si="5"/>
        <v>518.67757781836553</v>
      </c>
    </row>
    <row r="40" spans="1:8">
      <c r="A40" s="80">
        <v>2023.08</v>
      </c>
      <c r="B40" s="19">
        <v>307370</v>
      </c>
      <c r="C40" s="19">
        <f t="shared" si="0"/>
        <v>237231.94529619146</v>
      </c>
      <c r="D40" s="19">
        <f t="shared" si="1"/>
        <v>3392.5975035455763</v>
      </c>
      <c r="E40" s="19">
        <f t="shared" si="2"/>
        <v>1.168397634151825</v>
      </c>
      <c r="F40" s="19">
        <f t="shared" si="3"/>
        <v>193920.44646278658</v>
      </c>
      <c r="G40" s="19">
        <f t="shared" si="4"/>
        <v>113449.55353721342</v>
      </c>
      <c r="H40" s="19">
        <f t="shared" si="5"/>
        <v>56724.776768606709</v>
      </c>
    </row>
    <row r="41" spans="1:8">
      <c r="A41" s="80">
        <v>2023.09</v>
      </c>
      <c r="B41" s="19">
        <v>44365</v>
      </c>
      <c r="C41" s="19">
        <f t="shared" si="0"/>
        <v>214541.06932876777</v>
      </c>
      <c r="D41" s="19">
        <f t="shared" si="1"/>
        <v>2524.0704502880276</v>
      </c>
      <c r="E41" s="19">
        <f t="shared" si="2"/>
        <v>0.25205185379145795</v>
      </c>
      <c r="F41" s="19">
        <f t="shared" si="3"/>
        <v>80857.02880336385</v>
      </c>
      <c r="G41" s="19">
        <f t="shared" si="4"/>
        <v>36492.02880336385</v>
      </c>
      <c r="H41" s="19">
        <f t="shared" si="5"/>
        <v>18246.014401681925</v>
      </c>
    </row>
    <row r="42" spans="1:8">
      <c r="A42" s="81" t="s">
        <v>93</v>
      </c>
      <c r="B42" s="19">
        <v>259145</v>
      </c>
      <c r="C42" s="19">
        <f t="shared" si="0"/>
        <v>215420.49292394405</v>
      </c>
      <c r="D42" s="19">
        <f t="shared" si="1"/>
        <v>2469.3070274521342</v>
      </c>
      <c r="E42" s="19">
        <f t="shared" si="2"/>
        <v>1.2133997568411292</v>
      </c>
      <c r="F42" s="19">
        <f t="shared" si="3"/>
        <v>267586.1362956189</v>
      </c>
      <c r="G42" s="19">
        <f t="shared" si="4"/>
        <v>8441.1362956188968</v>
      </c>
      <c r="H42" s="19">
        <f t="shared" si="5"/>
        <v>4220.5681478094484</v>
      </c>
    </row>
    <row r="43" spans="1:8">
      <c r="A43" s="80">
        <v>2023.11</v>
      </c>
      <c r="B43" s="19">
        <v>196065</v>
      </c>
      <c r="C43" s="19">
        <f t="shared" si="0"/>
        <v>197363.53906062763</v>
      </c>
      <c r="D43" s="19">
        <f t="shared" si="1"/>
        <v>1785.8239435869086</v>
      </c>
      <c r="E43" s="19">
        <f t="shared" si="2"/>
        <v>1.1640113373969712</v>
      </c>
      <c r="F43" s="19">
        <f t="shared" si="3"/>
        <v>322591.06710066937</v>
      </c>
      <c r="G43" s="19">
        <f t="shared" si="4"/>
        <v>126526.06710066937</v>
      </c>
      <c r="H43" s="19">
        <f t="shared" si="5"/>
        <v>63263.033550334687</v>
      </c>
    </row>
    <row r="44" spans="1:8">
      <c r="A44" s="80">
        <v>2023.12</v>
      </c>
      <c r="B44" s="19">
        <v>193080</v>
      </c>
      <c r="C44" s="19">
        <f t="shared" si="0"/>
        <v>199149.23006101267</v>
      </c>
      <c r="D44" s="19">
        <f t="shared" si="1"/>
        <v>1785.8195168464476</v>
      </c>
      <c r="E44" s="19">
        <f t="shared" si="2"/>
        <v>0.9695249273074833</v>
      </c>
      <c r="F44" s="19">
        <f t="shared" si="3"/>
        <v>193080.53663678269</v>
      </c>
      <c r="G44" s="19">
        <f t="shared" si="4"/>
        <v>0.53663678269367665</v>
      </c>
      <c r="H44" s="19">
        <f t="shared" si="5"/>
        <v>0.26831839134683833</v>
      </c>
    </row>
    <row r="45" spans="1:8">
      <c r="A45" s="80">
        <v>2024.01</v>
      </c>
      <c r="B45" s="19">
        <v>123589</v>
      </c>
      <c r="C45" s="19">
        <f t="shared" si="0"/>
        <v>189354.51252455189</v>
      </c>
      <c r="D45" s="19">
        <f t="shared" si="1"/>
        <v>1400.210992228617</v>
      </c>
      <c r="E45" s="19">
        <f t="shared" si="2"/>
        <v>0.70751782639431904</v>
      </c>
      <c r="F45" s="19">
        <f t="shared" si="3"/>
        <v>162607.23196814308</v>
      </c>
      <c r="G45" s="19">
        <f t="shared" si="4"/>
        <v>39018.231968143082</v>
      </c>
      <c r="H45" s="19">
        <f t="shared" si="5"/>
        <v>19509.115984071541</v>
      </c>
    </row>
    <row r="46" spans="1:8">
      <c r="A46" s="80">
        <v>2024.02</v>
      </c>
      <c r="B46" s="19">
        <v>234526</v>
      </c>
      <c r="C46" s="19">
        <f t="shared" si="0"/>
        <v>216244.94356354931</v>
      </c>
      <c r="D46" s="19">
        <f t="shared" si="1"/>
        <v>2248.9839031197639</v>
      </c>
      <c r="E46" s="19">
        <f t="shared" si="2"/>
        <v>0.98137387553589317</v>
      </c>
      <c r="F46" s="19">
        <f t="shared" si="3"/>
        <v>150689.14480441087</v>
      </c>
      <c r="G46" s="19">
        <f t="shared" si="4"/>
        <v>83836.855195589131</v>
      </c>
      <c r="H46" s="19">
        <f t="shared" si="5"/>
        <v>41918.427597794565</v>
      </c>
    </row>
    <row r="47" spans="1:8">
      <c r="A47" s="80">
        <v>2024.03</v>
      </c>
      <c r="B47" s="19">
        <v>117605</v>
      </c>
      <c r="C47" s="19">
        <f t="shared" si="0"/>
        <v>195017.52950975008</v>
      </c>
      <c r="D47" s="19">
        <f t="shared" si="1"/>
        <v>1467.2672057129482</v>
      </c>
      <c r="E47" s="19">
        <f t="shared" si="2"/>
        <v>0.73294283663468063</v>
      </c>
      <c r="F47" s="19">
        <f t="shared" si="3"/>
        <v>212801.70715808263</v>
      </c>
      <c r="G47" s="19">
        <f t="shared" si="4"/>
        <v>95196.70715808263</v>
      </c>
      <c r="H47" s="19">
        <f t="shared" si="5"/>
        <v>47598.353579041315</v>
      </c>
    </row>
    <row r="48" spans="1:8">
      <c r="A48" s="80">
        <v>2024.04</v>
      </c>
      <c r="B48" s="19">
        <v>221332</v>
      </c>
      <c r="C48" s="19">
        <f>$D$6*B48/E36+(1-$D$6)*(C47+D47)</f>
        <v>211503.07551564256</v>
      </c>
      <c r="D48" s="19">
        <f t="shared" ref="D48" si="6">(($E$6*(C48-C47)+(1-$E$6)*D47))</f>
        <v>1967.3455961864361</v>
      </c>
      <c r="E48" s="19">
        <f>$F$6*B48/C48+(1-$F$6)*E36</f>
        <v>0.97924790645506943</v>
      </c>
      <c r="F48" s="19">
        <f t="shared" si="3"/>
        <v>167900.44766792568</v>
      </c>
      <c r="G48" s="19">
        <f>ABS(B48-F48)</f>
        <v>53431.552332074323</v>
      </c>
      <c r="H48" s="19">
        <f t="shared" si="5"/>
        <v>26715.776166037162</v>
      </c>
    </row>
    <row r="49" spans="1:6">
      <c r="A49" s="80">
        <v>2024.05</v>
      </c>
      <c r="F49" s="19">
        <f>E37*(C48+D48)</f>
        <v>115246.12175697027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autoLine="0" autoPict="0">
                <anchor moveWithCells="1">
                  <from>
                    <xdr:col>1</xdr:col>
                    <xdr:colOff>30480</xdr:colOff>
                    <xdr:row>1</xdr:row>
                    <xdr:rowOff>45720</xdr:rowOff>
                  </from>
                  <to>
                    <xdr:col>2</xdr:col>
                    <xdr:colOff>617220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Drop Down 2">
              <controlPr defaultSize="0" autoLine="0" autoPict="0">
                <anchor moveWithCells="1">
                  <from>
                    <xdr:col>3</xdr:col>
                    <xdr:colOff>426720</xdr:colOff>
                    <xdr:row>1</xdr:row>
                    <xdr:rowOff>30480</xdr:rowOff>
                  </from>
                  <to>
                    <xdr:col>5</xdr:col>
                    <xdr:colOff>388620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15240</xdr:colOff>
                    <xdr:row>0</xdr:row>
                    <xdr:rowOff>68580</xdr:rowOff>
                  </from>
                  <to>
                    <xdr:col>8</xdr:col>
                    <xdr:colOff>556260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47"/>
  <sheetViews>
    <sheetView topLeftCell="A19" workbookViewId="0">
      <selection activeCell="Q36" sqref="Q36"/>
    </sheetView>
  </sheetViews>
  <sheetFormatPr defaultRowHeight="14.4"/>
  <sheetData>
    <row r="1" spans="1:9">
      <c r="A1" s="17">
        <v>44</v>
      </c>
      <c r="B1" s="56" t="s">
        <v>66</v>
      </c>
      <c r="C1" s="56" t="s">
        <v>67</v>
      </c>
      <c r="D1" s="56" t="s">
        <v>68</v>
      </c>
      <c r="E1" s="56" t="s">
        <v>69</v>
      </c>
      <c r="F1" s="56" t="s">
        <v>60</v>
      </c>
      <c r="G1" s="56" t="s">
        <v>61</v>
      </c>
      <c r="H1" s="56" t="s">
        <v>62</v>
      </c>
      <c r="I1" s="56" t="s">
        <v>63</v>
      </c>
    </row>
    <row r="2" spans="1:9">
      <c r="A2" t="s">
        <v>43</v>
      </c>
      <c r="B2" s="22">
        <v>89022.680555555562</v>
      </c>
      <c r="C2" s="22">
        <v>199477.86458333331</v>
      </c>
      <c r="D2" s="22">
        <v>2578792.291666667</v>
      </c>
      <c r="E2" s="22">
        <v>7130447.2743055541</v>
      </c>
      <c r="F2" s="22">
        <v>777.8611111111112</v>
      </c>
      <c r="G2" s="22">
        <v>2960.229166666667</v>
      </c>
      <c r="H2" s="22">
        <v>1468.75</v>
      </c>
      <c r="I2" s="22">
        <v>2523.0034722222222</v>
      </c>
    </row>
    <row r="3" spans="1:9">
      <c r="A3" t="s">
        <v>42</v>
      </c>
      <c r="B3" s="15">
        <v>-139.36111111111072</v>
      </c>
      <c r="C3" s="15">
        <v>3716.3541666666665</v>
      </c>
      <c r="D3" s="15">
        <v>-386197.58333333331</v>
      </c>
      <c r="E3" s="15">
        <v>-315317.29861111118</v>
      </c>
      <c r="F3" s="23">
        <v>-113.05555555555556</v>
      </c>
      <c r="G3" s="23">
        <v>-126.79166666666663</v>
      </c>
      <c r="H3" s="23">
        <v>40.833333333333343</v>
      </c>
      <c r="I3" s="23">
        <v>15.243055555555543</v>
      </c>
    </row>
    <row r="4" spans="1:9">
      <c r="A4" t="s">
        <v>41</v>
      </c>
      <c r="B4">
        <v>0.72227280731506538</v>
      </c>
      <c r="C4">
        <v>0.8939185308152453</v>
      </c>
      <c r="D4">
        <v>1.2882606512447834</v>
      </c>
      <c r="E4">
        <v>1.4335877052851473</v>
      </c>
      <c r="F4">
        <v>0.1365814197536393</v>
      </c>
      <c r="G4">
        <v>2.9425451869516666</v>
      </c>
      <c r="H4">
        <v>0.20593339821561396</v>
      </c>
      <c r="I4">
        <v>0.59501422897145406</v>
      </c>
    </row>
    <row r="5" spans="1:9">
      <c r="A5" t="s">
        <v>40</v>
      </c>
      <c r="B5">
        <v>0.8475460113015274</v>
      </c>
      <c r="C5">
        <v>0.62441906042430206</v>
      </c>
      <c r="D5">
        <v>0.7745781468893449</v>
      </c>
      <c r="E5">
        <v>1.1076528922485251</v>
      </c>
      <c r="F5">
        <v>0.17972853789194954</v>
      </c>
      <c r="G5">
        <v>0.5141676621938287</v>
      </c>
      <c r="H5">
        <v>0.80363982193144445</v>
      </c>
      <c r="I5">
        <v>1.1576183910047537</v>
      </c>
    </row>
    <row r="6" spans="1:9">
      <c r="A6" t="s">
        <v>39</v>
      </c>
      <c r="B6">
        <v>0.65947220650578109</v>
      </c>
      <c r="C6">
        <v>1.0450393515005423</v>
      </c>
      <c r="D6">
        <v>2.3152986408986704</v>
      </c>
      <c r="E6">
        <v>2.3184596478293851</v>
      </c>
      <c r="F6">
        <v>1.1204561659449868</v>
      </c>
      <c r="G6">
        <v>1.6383764262865284</v>
      </c>
      <c r="H6">
        <v>0.14667342626548202</v>
      </c>
      <c r="I6">
        <v>0.10914146351619794</v>
      </c>
    </row>
    <row r="7" spans="1:9">
      <c r="A7" t="s">
        <v>38</v>
      </c>
      <c r="B7">
        <v>0.69155487504148294</v>
      </c>
      <c r="C7">
        <v>0.69237527119587516</v>
      </c>
      <c r="D7">
        <v>1.2225342872441347</v>
      </c>
      <c r="E7">
        <v>0.66822426639548649</v>
      </c>
      <c r="F7">
        <v>1.2179687583476659</v>
      </c>
      <c r="G7">
        <v>0.91048277077359829</v>
      </c>
      <c r="H7">
        <v>1.8313751466327206</v>
      </c>
      <c r="I7">
        <v>0.2132973452818207</v>
      </c>
    </row>
    <row r="8" spans="1:9">
      <c r="A8" t="s">
        <v>37</v>
      </c>
      <c r="B8">
        <v>0.71030181421745819</v>
      </c>
      <c r="C8">
        <v>0.45985937356243206</v>
      </c>
      <c r="D8">
        <v>5.2218197525664631E-2</v>
      </c>
      <c r="E8">
        <v>0.46078559663242102</v>
      </c>
      <c r="F8">
        <v>0.8218815869611279</v>
      </c>
      <c r="G8">
        <v>0.22001471196141978</v>
      </c>
      <c r="H8">
        <v>0.90286974573793732</v>
      </c>
      <c r="I8">
        <v>0.61773137102551745</v>
      </c>
    </row>
    <row r="9" spans="1:9">
      <c r="A9" t="s">
        <v>36</v>
      </c>
      <c r="B9">
        <v>1.203832970847639</v>
      </c>
      <c r="C9">
        <v>1.3072996503144478</v>
      </c>
      <c r="D9">
        <v>0.63339268359211887</v>
      </c>
      <c r="E9">
        <v>0.660929209492359</v>
      </c>
      <c r="F9">
        <v>0.13785428989291976</v>
      </c>
      <c r="G9">
        <v>1.1832919343163626</v>
      </c>
      <c r="H9">
        <v>0.53062653339895571</v>
      </c>
      <c r="I9">
        <v>3.1476642625209745</v>
      </c>
    </row>
    <row r="10" spans="1:9">
      <c r="A10" t="s">
        <v>35</v>
      </c>
      <c r="B10">
        <v>1.3364512590115329</v>
      </c>
      <c r="C10">
        <v>1.7249457068738929</v>
      </c>
      <c r="D10">
        <v>0.33307377546549505</v>
      </c>
      <c r="E10">
        <v>0.83298287427372253</v>
      </c>
      <c r="F10">
        <v>2.7359736671749868</v>
      </c>
      <c r="G10">
        <v>1.4892711070438682</v>
      </c>
      <c r="H10">
        <v>1.0146799243615696</v>
      </c>
      <c r="I10">
        <v>1.7839448746837876</v>
      </c>
    </row>
    <row r="11" spans="1:9">
      <c r="A11" t="s">
        <v>34</v>
      </c>
      <c r="B11">
        <v>1.1299736598063883</v>
      </c>
      <c r="C11">
        <v>1.09820823058842</v>
      </c>
      <c r="D11">
        <v>0.56163632275666242</v>
      </c>
      <c r="E11">
        <v>0.41417951693412042</v>
      </c>
      <c r="F11">
        <v>1.5014293004533699</v>
      </c>
      <c r="G11">
        <v>0.77209445845553804</v>
      </c>
      <c r="H11">
        <v>1.4687769443406244</v>
      </c>
      <c r="I11">
        <v>1.1891502081584484</v>
      </c>
    </row>
    <row r="12" spans="1:9">
      <c r="A12" t="s">
        <v>33</v>
      </c>
      <c r="B12">
        <v>0.93936512013074447</v>
      </c>
      <c r="C12">
        <v>0.64960012134828848</v>
      </c>
      <c r="D12">
        <v>0.65811014643862964</v>
      </c>
      <c r="E12">
        <v>1.3317113523084707</v>
      </c>
      <c r="F12">
        <v>0.28745420240829817</v>
      </c>
      <c r="G12">
        <v>9.3606432830464575E-2</v>
      </c>
      <c r="H12">
        <v>2.6392113472447849</v>
      </c>
      <c r="I12">
        <v>1.0631664122455278</v>
      </c>
    </row>
    <row r="13" spans="1:9">
      <c r="A13" t="s">
        <v>32</v>
      </c>
      <c r="B13">
        <v>0.99058547967906008</v>
      </c>
      <c r="C13">
        <v>1.2972742071008572</v>
      </c>
      <c r="D13">
        <v>0.87527298709573287</v>
      </c>
      <c r="E13">
        <v>0.74084176068795593</v>
      </c>
      <c r="F13">
        <v>1.0454348916814755</v>
      </c>
      <c r="G13">
        <v>0.99352179295807064</v>
      </c>
      <c r="H13">
        <v>0.49428456184107783</v>
      </c>
      <c r="I13">
        <v>0.25429495375465982</v>
      </c>
    </row>
    <row r="14" spans="1:9">
      <c r="A14" t="s">
        <v>31</v>
      </c>
      <c r="B14">
        <v>1.0621407173504747</v>
      </c>
      <c r="C14">
        <v>1.2374180825624106</v>
      </c>
      <c r="D14">
        <v>1.4851386908985675</v>
      </c>
      <c r="E14">
        <v>1.2624812223476565</v>
      </c>
      <c r="F14">
        <v>0.52104557255842199</v>
      </c>
      <c r="G14">
        <v>0.80577258820213415</v>
      </c>
      <c r="H14">
        <v>1.4495934989435044</v>
      </c>
      <c r="I14">
        <v>1.7512474837859757</v>
      </c>
    </row>
    <row r="15" spans="1:9">
      <c r="A15" t="s">
        <v>30</v>
      </c>
      <c r="B15">
        <v>1.7065030787928452</v>
      </c>
      <c r="C15">
        <v>0.96964241371328663</v>
      </c>
      <c r="D15">
        <v>1.8004854699501958</v>
      </c>
      <c r="E15">
        <v>0.76816395556475048</v>
      </c>
      <c r="F15">
        <v>2.2941916069311574</v>
      </c>
      <c r="G15">
        <v>0.43685492802652026</v>
      </c>
      <c r="H15">
        <v>0.51233565108628487</v>
      </c>
      <c r="I15">
        <v>0.11772900505088266</v>
      </c>
    </row>
    <row r="16" spans="1:9" ht="15" thickBot="1"/>
    <row r="17" spans="1:9">
      <c r="A17" s="25">
        <v>2022.01</v>
      </c>
      <c r="B17" s="45">
        <v>55550</v>
      </c>
      <c r="C17" s="45">
        <v>166145</v>
      </c>
      <c r="D17" s="45">
        <v>4197500</v>
      </c>
      <c r="E17" s="45">
        <v>13647000</v>
      </c>
      <c r="F17" s="45">
        <v>3250</v>
      </c>
      <c r="G17" s="45">
        <v>4650</v>
      </c>
      <c r="H17" s="45">
        <v>200</v>
      </c>
      <c r="I17" s="46">
        <v>100</v>
      </c>
    </row>
    <row r="18" spans="1:9">
      <c r="A18" s="28">
        <v>2022.02</v>
      </c>
      <c r="B18" s="24">
        <v>107010</v>
      </c>
      <c r="C18" s="24">
        <v>186265</v>
      </c>
      <c r="D18" s="24">
        <v>2788200</v>
      </c>
      <c r="E18" s="24">
        <v>8781500</v>
      </c>
      <c r="F18" s="24">
        <v>10590</v>
      </c>
      <c r="G18" s="24">
        <v>1940</v>
      </c>
      <c r="H18" s="24">
        <v>567</v>
      </c>
      <c r="I18" s="47">
        <v>400</v>
      </c>
    </row>
    <row r="19" spans="1:9">
      <c r="A19" s="28">
        <v>2022.03</v>
      </c>
      <c r="B19" s="24">
        <v>86355</v>
      </c>
      <c r="C19" s="24">
        <v>149165</v>
      </c>
      <c r="D19" s="24">
        <v>4273500</v>
      </c>
      <c r="E19" s="24">
        <v>15515500</v>
      </c>
      <c r="F19" s="24">
        <v>2514</v>
      </c>
      <c r="G19" s="24">
        <v>3831</v>
      </c>
      <c r="H19" s="24">
        <v>35</v>
      </c>
      <c r="I19" s="47">
        <v>1500</v>
      </c>
    </row>
    <row r="20" spans="1:9">
      <c r="A20" s="28">
        <v>2022.04</v>
      </c>
      <c r="B20" s="24">
        <v>63170</v>
      </c>
      <c r="C20" s="24">
        <v>116625</v>
      </c>
      <c r="D20" s="24">
        <v>16985</v>
      </c>
      <c r="E20" s="24">
        <v>53935</v>
      </c>
      <c r="F20" s="24">
        <v>3594</v>
      </c>
      <c r="G20" s="24">
        <v>15871</v>
      </c>
      <c r="H20" s="24">
        <v>1178</v>
      </c>
      <c r="I20" s="47">
        <v>600</v>
      </c>
    </row>
    <row r="21" spans="1:9">
      <c r="A21" s="28">
        <v>2022.05</v>
      </c>
      <c r="B21" s="24">
        <v>119410</v>
      </c>
      <c r="C21" s="24">
        <v>130765</v>
      </c>
      <c r="D21" s="24">
        <v>27405</v>
      </c>
      <c r="E21" s="24">
        <v>35371</v>
      </c>
      <c r="F21" s="24">
        <v>6933</v>
      </c>
      <c r="G21" s="24">
        <v>43998</v>
      </c>
      <c r="H21" s="24">
        <v>4075</v>
      </c>
      <c r="I21" s="47">
        <v>1500</v>
      </c>
    </row>
    <row r="22" spans="1:9">
      <c r="A22" s="28">
        <v>2022.06</v>
      </c>
      <c r="B22" s="24">
        <v>182770</v>
      </c>
      <c r="C22" s="24">
        <v>155445</v>
      </c>
      <c r="D22" s="24">
        <v>38707</v>
      </c>
      <c r="E22" s="24">
        <v>42891</v>
      </c>
      <c r="F22" s="24">
        <v>9629</v>
      </c>
      <c r="G22" s="24">
        <v>6652</v>
      </c>
      <c r="H22" s="24">
        <v>1655</v>
      </c>
      <c r="I22" s="47">
        <v>1450</v>
      </c>
    </row>
    <row r="23" spans="1:9">
      <c r="A23" s="28">
        <v>2022.07</v>
      </c>
      <c r="B23" s="24">
        <v>149485</v>
      </c>
      <c r="C23" s="24">
        <v>180220</v>
      </c>
      <c r="D23" s="24">
        <v>37666</v>
      </c>
      <c r="E23" s="24">
        <v>26505</v>
      </c>
      <c r="F23" s="24">
        <v>3368</v>
      </c>
      <c r="G23" s="24">
        <v>16876</v>
      </c>
      <c r="H23" s="24">
        <v>6797</v>
      </c>
      <c r="I23" s="47">
        <v>4000</v>
      </c>
    </row>
    <row r="24" spans="1:9">
      <c r="A24" s="28">
        <v>2022.08</v>
      </c>
      <c r="B24" s="24">
        <v>210440</v>
      </c>
      <c r="C24" s="24">
        <v>143775</v>
      </c>
      <c r="D24" s="24">
        <v>23715000</v>
      </c>
      <c r="E24" s="24">
        <v>24869500</v>
      </c>
      <c r="F24" s="24">
        <v>17320</v>
      </c>
      <c r="G24" s="24">
        <v>720180</v>
      </c>
      <c r="H24" s="24">
        <v>10440</v>
      </c>
      <c r="I24" s="47">
        <v>4500</v>
      </c>
    </row>
    <row r="25" spans="1:9">
      <c r="A25" s="28">
        <v>2022.09</v>
      </c>
      <c r="B25" s="24">
        <v>23385</v>
      </c>
      <c r="C25" s="24">
        <v>23320</v>
      </c>
      <c r="D25" s="24">
        <v>1699500</v>
      </c>
      <c r="E25" s="24">
        <v>8187000</v>
      </c>
      <c r="F25" s="24">
        <v>200</v>
      </c>
      <c r="G25" s="24">
        <v>9060</v>
      </c>
      <c r="H25" s="24">
        <v>8000</v>
      </c>
      <c r="I25" s="47">
        <v>5000</v>
      </c>
    </row>
    <row r="26" spans="1:9">
      <c r="A26" s="28">
        <v>2022.1</v>
      </c>
      <c r="B26" s="24">
        <v>94660</v>
      </c>
      <c r="C26" s="24">
        <v>164170</v>
      </c>
      <c r="D26" s="24">
        <v>10409500</v>
      </c>
      <c r="E26" s="24">
        <v>18123000</v>
      </c>
      <c r="F26" s="24">
        <v>33564</v>
      </c>
      <c r="G26" s="24">
        <v>32067</v>
      </c>
      <c r="H26" s="24">
        <v>2230</v>
      </c>
      <c r="I26" s="47">
        <v>800</v>
      </c>
    </row>
    <row r="27" spans="1:9">
      <c r="A27" s="28">
        <v>2022.11</v>
      </c>
      <c r="B27" s="24">
        <v>132837</v>
      </c>
      <c r="C27" s="24">
        <v>245302</v>
      </c>
      <c r="D27" s="24">
        <v>3677500</v>
      </c>
      <c r="E27" s="24">
        <v>21266500</v>
      </c>
      <c r="F27" s="24">
        <v>9621</v>
      </c>
      <c r="G27" s="24">
        <v>67055</v>
      </c>
      <c r="H27" s="24">
        <v>3700</v>
      </c>
      <c r="I27" s="47">
        <v>1000</v>
      </c>
    </row>
    <row r="28" spans="1:9" ht="15" thickBot="1">
      <c r="A28" s="30">
        <v>2022.12</v>
      </c>
      <c r="B28" s="48">
        <v>110315</v>
      </c>
      <c r="C28" s="48">
        <v>148635</v>
      </c>
      <c r="D28" s="48">
        <v>9317500</v>
      </c>
      <c r="E28" s="48">
        <v>3668000</v>
      </c>
      <c r="F28" s="48">
        <v>13988</v>
      </c>
      <c r="G28" s="48">
        <v>37979</v>
      </c>
      <c r="H28" s="48">
        <v>675</v>
      </c>
      <c r="I28" s="49">
        <v>400</v>
      </c>
    </row>
    <row r="29" spans="1:9">
      <c r="A29" s="25">
        <v>2023.01</v>
      </c>
      <c r="B29" s="45">
        <v>181420</v>
      </c>
      <c r="C29" s="45">
        <v>118020</v>
      </c>
      <c r="D29" s="45">
        <v>12810000</v>
      </c>
      <c r="E29" s="45">
        <v>22440500</v>
      </c>
      <c r="F29" s="45">
        <v>4405</v>
      </c>
      <c r="G29" s="45">
        <v>16620</v>
      </c>
      <c r="H29" s="45">
        <v>1200</v>
      </c>
      <c r="I29" s="46">
        <v>100</v>
      </c>
    </row>
    <row r="30" spans="1:9">
      <c r="A30" s="28">
        <v>2023.02</v>
      </c>
      <c r="B30" s="24">
        <v>62025</v>
      </c>
      <c r="C30" s="24">
        <v>125285</v>
      </c>
      <c r="D30" s="24">
        <v>7414000</v>
      </c>
      <c r="E30" s="24">
        <v>13531500</v>
      </c>
      <c r="F30" s="24">
        <v>3150</v>
      </c>
      <c r="G30" s="24">
        <v>20266</v>
      </c>
      <c r="H30" s="24">
        <v>400</v>
      </c>
      <c r="I30" s="47">
        <v>400</v>
      </c>
    </row>
    <row r="31" spans="1:9">
      <c r="A31" s="28">
        <v>2023.03</v>
      </c>
      <c r="B31" s="24">
        <v>189300</v>
      </c>
      <c r="C31" s="24">
        <v>179225</v>
      </c>
      <c r="D31" s="24">
        <v>11274000</v>
      </c>
      <c r="E31" s="24">
        <v>25112000</v>
      </c>
      <c r="F31" s="24">
        <v>12690</v>
      </c>
      <c r="G31" s="24">
        <v>15943</v>
      </c>
      <c r="H31" s="24">
        <v>100</v>
      </c>
      <c r="I31" s="47">
        <v>200</v>
      </c>
    </row>
    <row r="32" spans="1:9">
      <c r="A32" s="28">
        <v>2023.04</v>
      </c>
      <c r="B32" s="24">
        <v>145695</v>
      </c>
      <c r="C32" s="24">
        <v>207700</v>
      </c>
      <c r="D32" s="24">
        <v>11926000</v>
      </c>
      <c r="E32" s="24">
        <v>23491000</v>
      </c>
      <c r="F32" s="24">
        <v>17967</v>
      </c>
      <c r="G32" s="24">
        <v>28581</v>
      </c>
      <c r="H32" s="24">
        <v>1000</v>
      </c>
      <c r="I32" s="47">
        <v>550</v>
      </c>
    </row>
    <row r="33" spans="1:9">
      <c r="A33" s="28">
        <v>2023.05</v>
      </c>
      <c r="B33" s="24">
        <v>173160</v>
      </c>
      <c r="C33" s="24">
        <v>115720</v>
      </c>
      <c r="D33" s="24">
        <v>8353000</v>
      </c>
      <c r="E33" s="24">
        <v>25386000</v>
      </c>
      <c r="F33" s="24">
        <v>19760</v>
      </c>
      <c r="G33" s="24">
        <v>18125</v>
      </c>
      <c r="H33" s="24">
        <v>820</v>
      </c>
      <c r="I33" s="47">
        <v>1500</v>
      </c>
    </row>
    <row r="34" spans="1:9">
      <c r="A34" s="28">
        <v>2023.06</v>
      </c>
      <c r="B34" s="24">
        <v>163510</v>
      </c>
      <c r="C34" s="24">
        <v>152748</v>
      </c>
      <c r="D34" s="24">
        <v>9641000</v>
      </c>
      <c r="E34" s="24">
        <v>17108500</v>
      </c>
      <c r="F34" s="24">
        <v>10317</v>
      </c>
      <c r="G34" s="24">
        <v>15539</v>
      </c>
      <c r="H34" s="24">
        <v>800</v>
      </c>
      <c r="I34" s="47">
        <v>1400</v>
      </c>
    </row>
    <row r="35" spans="1:9">
      <c r="A35" s="28">
        <v>2023.07</v>
      </c>
      <c r="B35" s="24">
        <v>126140</v>
      </c>
      <c r="C35" s="24">
        <v>256512</v>
      </c>
      <c r="D35" s="24">
        <v>10239000</v>
      </c>
      <c r="E35" s="24">
        <v>26130500</v>
      </c>
      <c r="F35" s="24">
        <v>22571</v>
      </c>
      <c r="G35" s="24">
        <v>55111</v>
      </c>
      <c r="H35" s="24">
        <v>3710</v>
      </c>
      <c r="I35" s="47">
        <v>5000</v>
      </c>
    </row>
    <row r="36" spans="1:9">
      <c r="A36" s="28">
        <v>2023.08</v>
      </c>
      <c r="B36" s="24">
        <v>158595</v>
      </c>
      <c r="C36" s="24">
        <v>307370</v>
      </c>
      <c r="D36" s="24">
        <v>23125000</v>
      </c>
      <c r="E36" s="24">
        <v>12624000</v>
      </c>
      <c r="F36" s="24">
        <v>5121</v>
      </c>
      <c r="G36" s="24">
        <v>40640</v>
      </c>
      <c r="H36" s="24">
        <v>1580</v>
      </c>
      <c r="I36" s="47">
        <v>3500</v>
      </c>
    </row>
    <row r="37" spans="1:9">
      <c r="A37" s="28">
        <v>2023.09</v>
      </c>
      <c r="B37" s="24">
        <v>62185</v>
      </c>
      <c r="C37" s="24">
        <v>44365</v>
      </c>
      <c r="D37" s="24">
        <v>7192000</v>
      </c>
      <c r="E37" s="24">
        <v>1651500</v>
      </c>
      <c r="F37" s="24">
        <v>1520</v>
      </c>
      <c r="G37" s="24">
        <v>1400</v>
      </c>
      <c r="H37" s="24">
        <v>300</v>
      </c>
      <c r="I37" s="47">
        <v>3000</v>
      </c>
    </row>
    <row r="38" spans="1:9">
      <c r="A38" s="28">
        <v>2023.1</v>
      </c>
      <c r="B38" s="24">
        <v>227430</v>
      </c>
      <c r="C38" s="24">
        <v>259145</v>
      </c>
      <c r="D38" s="24">
        <v>27991000</v>
      </c>
      <c r="E38" s="24">
        <v>29100000</v>
      </c>
      <c r="F38" s="24">
        <v>20801</v>
      </c>
      <c r="G38" s="24">
        <v>2533</v>
      </c>
      <c r="H38" s="24">
        <v>1635</v>
      </c>
      <c r="I38" s="47">
        <v>900</v>
      </c>
    </row>
    <row r="39" spans="1:9">
      <c r="A39" s="28">
        <v>2023.11</v>
      </c>
      <c r="B39" s="24">
        <v>267895</v>
      </c>
      <c r="C39" s="24">
        <v>196065</v>
      </c>
      <c r="D39" s="24">
        <v>20945000</v>
      </c>
      <c r="E39" s="24">
        <v>32644500</v>
      </c>
      <c r="F39" s="24">
        <v>27511</v>
      </c>
      <c r="G39" s="24">
        <v>20485</v>
      </c>
      <c r="H39" s="24">
        <v>2500</v>
      </c>
      <c r="I39" s="47">
        <v>1500</v>
      </c>
    </row>
    <row r="40" spans="1:9" ht="15" thickBot="1">
      <c r="A40" s="30">
        <v>2023.12</v>
      </c>
      <c r="B40" s="48">
        <v>358985</v>
      </c>
      <c r="C40" s="48">
        <v>193080</v>
      </c>
      <c r="D40" s="48">
        <v>25399500</v>
      </c>
      <c r="E40" s="48">
        <v>44932000</v>
      </c>
      <c r="F40" s="48">
        <v>17689</v>
      </c>
      <c r="G40" s="48">
        <v>33375</v>
      </c>
      <c r="H40" s="48">
        <v>1760</v>
      </c>
      <c r="I40" s="49">
        <v>600</v>
      </c>
    </row>
    <row r="41" spans="1:9">
      <c r="A41" s="33">
        <v>2024.01</v>
      </c>
      <c r="B41" s="25">
        <v>221889</v>
      </c>
      <c r="C41" s="26">
        <v>123589</v>
      </c>
      <c r="D41" s="26">
        <v>13642619</v>
      </c>
      <c r="E41" s="26">
        <v>4466530</v>
      </c>
      <c r="F41" s="26">
        <v>17287</v>
      </c>
      <c r="G41" s="26">
        <v>4173</v>
      </c>
      <c r="H41" s="26">
        <v>1134</v>
      </c>
      <c r="I41" s="27">
        <v>800</v>
      </c>
    </row>
    <row r="42" spans="1:9">
      <c r="A42" s="34">
        <v>2024.02</v>
      </c>
      <c r="B42" s="28">
        <v>204473</v>
      </c>
      <c r="C42">
        <v>234526</v>
      </c>
      <c r="D42">
        <v>323886</v>
      </c>
      <c r="E42">
        <v>102414</v>
      </c>
      <c r="F42">
        <v>151381</v>
      </c>
      <c r="G42">
        <v>146847</v>
      </c>
      <c r="H42">
        <v>254326</v>
      </c>
      <c r="I42" s="29">
        <v>1100</v>
      </c>
    </row>
    <row r="43" spans="1:9">
      <c r="A43" s="34">
        <v>2024.03</v>
      </c>
      <c r="B43" s="28">
        <v>289604</v>
      </c>
      <c r="C43">
        <v>117605</v>
      </c>
      <c r="D43">
        <v>252041</v>
      </c>
      <c r="E43">
        <v>281840</v>
      </c>
      <c r="F43">
        <v>141187</v>
      </c>
      <c r="G43">
        <v>145322</v>
      </c>
      <c r="H43">
        <v>339128</v>
      </c>
      <c r="I43" s="29">
        <v>1200</v>
      </c>
    </row>
    <row r="44" spans="1:9">
      <c r="A44" s="34">
        <v>2024.04</v>
      </c>
      <c r="B44" s="28">
        <v>302515</v>
      </c>
      <c r="C44">
        <v>221332</v>
      </c>
      <c r="D44">
        <v>84269</v>
      </c>
      <c r="E44">
        <v>240639</v>
      </c>
      <c r="F44">
        <v>122718</v>
      </c>
      <c r="G44">
        <v>115620</v>
      </c>
      <c r="H44">
        <v>268526</v>
      </c>
      <c r="I44" s="29">
        <v>1000</v>
      </c>
    </row>
    <row r="45" spans="1:9">
      <c r="A45" s="34">
        <v>2024.05</v>
      </c>
      <c r="B45" s="28">
        <v>270.89999999999998</v>
      </c>
      <c r="C45">
        <v>1660</v>
      </c>
      <c r="D45">
        <v>0</v>
      </c>
      <c r="E45">
        <v>0</v>
      </c>
      <c r="F45">
        <v>300</v>
      </c>
      <c r="G45">
        <v>50</v>
      </c>
      <c r="H45">
        <v>0</v>
      </c>
      <c r="I45" s="29">
        <v>0</v>
      </c>
    </row>
    <row r="46" spans="1:9">
      <c r="A46" s="34">
        <v>2024.06</v>
      </c>
      <c r="B46" s="28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 s="29">
        <v>0</v>
      </c>
    </row>
    <row r="47" spans="1:9" ht="15" thickBot="1">
      <c r="A47" s="35">
        <v>2024.07</v>
      </c>
      <c r="B47" s="30">
        <v>0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75"/>
  <sheetViews>
    <sheetView topLeftCell="A31" zoomScale="110" zoomScaleNormal="110" workbookViewId="0">
      <selection activeCell="E27" sqref="E27:E74"/>
    </sheetView>
  </sheetViews>
  <sheetFormatPr defaultRowHeight="14.4"/>
  <sheetData>
    <row r="1" spans="1:14">
      <c r="D1" s="71" t="s">
        <v>48</v>
      </c>
      <c r="E1" s="72"/>
      <c r="G1" s="71" t="s">
        <v>5</v>
      </c>
      <c r="H1" s="72"/>
      <c r="J1" s="73" t="s">
        <v>2</v>
      </c>
      <c r="K1" s="73"/>
      <c r="M1" s="73" t="s">
        <v>4</v>
      </c>
      <c r="N1" s="73"/>
    </row>
    <row r="2" spans="1:14">
      <c r="A2" t="s">
        <v>47</v>
      </c>
      <c r="B2" t="s">
        <v>46</v>
      </c>
      <c r="D2" s="50" t="s">
        <v>22</v>
      </c>
      <c r="E2" s="51" t="s">
        <v>45</v>
      </c>
      <c r="G2" s="50" t="s">
        <v>22</v>
      </c>
      <c r="H2" s="51" t="s">
        <v>44</v>
      </c>
      <c r="J2" s="21" t="s">
        <v>22</v>
      </c>
      <c r="K2" s="21" t="s">
        <v>44</v>
      </c>
      <c r="M2" s="21" t="s">
        <v>22</v>
      </c>
      <c r="N2" s="21" t="s">
        <v>44</v>
      </c>
    </row>
    <row r="3" spans="1:14">
      <c r="A3">
        <v>2018</v>
      </c>
      <c r="B3">
        <v>1</v>
      </c>
      <c r="D3" s="28">
        <v>76395</v>
      </c>
      <c r="E3" s="29">
        <v>146995</v>
      </c>
      <c r="F3" s="19"/>
      <c r="G3" s="52">
        <v>1705500</v>
      </c>
      <c r="H3" s="53">
        <v>8175000</v>
      </c>
      <c r="J3" s="19">
        <v>300</v>
      </c>
      <c r="K3" s="19">
        <v>400</v>
      </c>
      <c r="M3" s="19">
        <v>200</v>
      </c>
      <c r="N3" s="19">
        <v>100</v>
      </c>
    </row>
    <row r="4" spans="1:14">
      <c r="A4">
        <v>2018</v>
      </c>
      <c r="B4">
        <v>2</v>
      </c>
      <c r="D4" s="28">
        <v>52395</v>
      </c>
      <c r="E4" s="29">
        <v>129505</v>
      </c>
      <c r="F4" s="19"/>
      <c r="G4" s="52">
        <v>1870000</v>
      </c>
      <c r="H4" s="53">
        <v>17232500</v>
      </c>
      <c r="J4" s="19">
        <v>2600</v>
      </c>
      <c r="K4" s="19">
        <v>22185</v>
      </c>
      <c r="M4" s="19">
        <v>10200</v>
      </c>
      <c r="N4" s="19">
        <v>500</v>
      </c>
    </row>
    <row r="5" spans="1:14">
      <c r="A5">
        <v>2018</v>
      </c>
      <c r="B5">
        <v>3</v>
      </c>
      <c r="D5" s="28">
        <v>48925</v>
      </c>
      <c r="E5" s="29">
        <v>115400</v>
      </c>
      <c r="F5" s="19"/>
      <c r="G5" s="52">
        <v>5819000</v>
      </c>
      <c r="H5" s="53">
        <v>15449000</v>
      </c>
      <c r="J5" s="19">
        <v>9470</v>
      </c>
      <c r="K5" s="19">
        <v>40690</v>
      </c>
      <c r="M5" s="19">
        <v>100</v>
      </c>
      <c r="N5" s="19">
        <v>1500</v>
      </c>
    </row>
    <row r="6" spans="1:14">
      <c r="A6">
        <v>2018</v>
      </c>
      <c r="B6">
        <v>4</v>
      </c>
      <c r="D6" s="28">
        <v>39510</v>
      </c>
      <c r="E6" s="29">
        <v>135255</v>
      </c>
      <c r="F6" s="19"/>
      <c r="G6" s="52">
        <v>4753500</v>
      </c>
      <c r="H6" s="53">
        <v>21691500</v>
      </c>
      <c r="J6" s="19">
        <v>16675</v>
      </c>
      <c r="K6" s="19">
        <v>9713</v>
      </c>
      <c r="M6" s="19">
        <v>200</v>
      </c>
      <c r="N6" s="19">
        <v>100</v>
      </c>
    </row>
    <row r="7" spans="1:14">
      <c r="A7">
        <v>2018</v>
      </c>
      <c r="B7">
        <v>5</v>
      </c>
      <c r="D7" s="28">
        <v>33030</v>
      </c>
      <c r="E7" s="29">
        <v>132135</v>
      </c>
      <c r="F7" s="19"/>
      <c r="G7" s="52">
        <v>7458000</v>
      </c>
      <c r="H7" s="53">
        <v>19911000</v>
      </c>
      <c r="J7" s="19">
        <v>19040</v>
      </c>
      <c r="K7" s="19">
        <v>9465</v>
      </c>
      <c r="M7" s="19">
        <v>11650</v>
      </c>
      <c r="N7" s="19">
        <v>150</v>
      </c>
    </row>
    <row r="8" spans="1:14">
      <c r="A8">
        <v>2018</v>
      </c>
      <c r="B8">
        <v>6</v>
      </c>
      <c r="D8" s="28">
        <v>62510</v>
      </c>
      <c r="E8" s="29">
        <v>174545</v>
      </c>
      <c r="F8" s="19"/>
      <c r="G8" s="52">
        <v>7681500</v>
      </c>
      <c r="H8" s="53">
        <v>33214500</v>
      </c>
      <c r="J8" s="19">
        <v>68062</v>
      </c>
      <c r="K8" s="19">
        <v>4690</v>
      </c>
      <c r="M8" s="19">
        <v>300</v>
      </c>
      <c r="N8" s="19">
        <v>950</v>
      </c>
    </row>
    <row r="9" spans="1:14">
      <c r="A9">
        <v>2018</v>
      </c>
      <c r="B9">
        <v>7</v>
      </c>
      <c r="D9" s="28">
        <v>66480</v>
      </c>
      <c r="E9" s="29">
        <v>280896</v>
      </c>
      <c r="F9" s="19"/>
      <c r="G9" s="52">
        <v>10475000</v>
      </c>
      <c r="H9" s="53">
        <v>27381500</v>
      </c>
      <c r="J9" s="19">
        <v>38713</v>
      </c>
      <c r="K9" s="19">
        <v>16375</v>
      </c>
      <c r="M9" s="19">
        <v>7490</v>
      </c>
      <c r="N9" s="19">
        <v>1650</v>
      </c>
    </row>
    <row r="10" spans="1:14">
      <c r="A10">
        <v>2018</v>
      </c>
      <c r="B10">
        <v>8</v>
      </c>
      <c r="D10" s="28">
        <v>73961</v>
      </c>
      <c r="E10" s="29">
        <v>267350</v>
      </c>
      <c r="F10" s="19"/>
      <c r="G10" s="52">
        <v>6709000</v>
      </c>
      <c r="H10" s="53">
        <v>32624000</v>
      </c>
      <c r="J10" s="19">
        <v>21240</v>
      </c>
      <c r="K10" s="19">
        <v>4320</v>
      </c>
      <c r="M10" s="19">
        <v>400</v>
      </c>
      <c r="N10" s="19">
        <v>100</v>
      </c>
    </row>
    <row r="11" spans="1:14">
      <c r="A11">
        <v>2018</v>
      </c>
      <c r="B11">
        <v>9</v>
      </c>
      <c r="D11" s="28">
        <v>141505</v>
      </c>
      <c r="E11" s="29">
        <v>88375</v>
      </c>
      <c r="F11" s="19"/>
      <c r="G11" s="52">
        <v>7546000</v>
      </c>
      <c r="H11" s="53">
        <v>13798000</v>
      </c>
      <c r="J11" s="19">
        <v>5120</v>
      </c>
      <c r="K11" s="19">
        <v>2567</v>
      </c>
      <c r="M11" s="19">
        <v>3400</v>
      </c>
      <c r="N11" s="19">
        <v>3920</v>
      </c>
    </row>
    <row r="12" spans="1:14">
      <c r="A12">
        <v>2018</v>
      </c>
      <c r="B12">
        <v>10</v>
      </c>
      <c r="D12" s="28">
        <v>172865</v>
      </c>
      <c r="E12" s="29">
        <v>129845</v>
      </c>
      <c r="F12" s="19"/>
      <c r="G12" s="52">
        <v>22761500</v>
      </c>
      <c r="H12" s="53">
        <v>6640000</v>
      </c>
      <c r="J12" s="19">
        <v>25500</v>
      </c>
      <c r="K12" s="19">
        <v>6189</v>
      </c>
      <c r="M12" s="19">
        <v>45</v>
      </c>
      <c r="N12" s="19">
        <v>5000</v>
      </c>
    </row>
    <row r="13" spans="1:14">
      <c r="A13">
        <v>2018</v>
      </c>
      <c r="B13">
        <v>11</v>
      </c>
      <c r="D13" s="28">
        <v>86210</v>
      </c>
      <c r="E13" s="29">
        <v>121015</v>
      </c>
      <c r="F13" s="19"/>
      <c r="G13" s="52">
        <v>20482500</v>
      </c>
      <c r="H13" s="53">
        <v>29045000</v>
      </c>
      <c r="J13" s="19">
        <v>17935</v>
      </c>
      <c r="K13" s="19">
        <v>17717</v>
      </c>
      <c r="M13" s="19">
        <v>1800</v>
      </c>
      <c r="N13" s="19">
        <v>2500</v>
      </c>
    </row>
    <row r="14" spans="1:14" ht="15" thickBot="1">
      <c r="A14" s="20">
        <v>2018</v>
      </c>
      <c r="B14" s="20">
        <v>12</v>
      </c>
      <c r="D14" s="30">
        <v>59615</v>
      </c>
      <c r="E14" s="32">
        <v>125510</v>
      </c>
      <c r="F14" s="19"/>
      <c r="G14" s="54">
        <v>25564000</v>
      </c>
      <c r="H14" s="55">
        <v>6872000</v>
      </c>
      <c r="J14" s="18">
        <v>7200</v>
      </c>
      <c r="K14" s="18">
        <v>20339</v>
      </c>
      <c r="M14" s="18">
        <v>1400</v>
      </c>
      <c r="N14" s="18">
        <v>1000</v>
      </c>
    </row>
    <row r="15" spans="1:14" ht="15" thickTop="1">
      <c r="A15">
        <v>2019</v>
      </c>
      <c r="B15">
        <v>1</v>
      </c>
      <c r="D15">
        <v>11505</v>
      </c>
      <c r="E15">
        <v>40060</v>
      </c>
      <c r="F15" s="19"/>
      <c r="G15" s="19">
        <v>1651500</v>
      </c>
      <c r="H15" s="19">
        <v>7972500</v>
      </c>
      <c r="J15" s="19">
        <v>200</v>
      </c>
      <c r="K15" s="19">
        <v>100</v>
      </c>
      <c r="M15" s="19">
        <v>100</v>
      </c>
      <c r="N15" s="19">
        <v>400</v>
      </c>
    </row>
    <row r="16" spans="1:14">
      <c r="A16">
        <v>2019</v>
      </c>
      <c r="B16">
        <v>2</v>
      </c>
      <c r="D16">
        <v>4355</v>
      </c>
      <c r="E16">
        <v>9015</v>
      </c>
      <c r="F16" s="19"/>
      <c r="G16" s="19">
        <v>760000</v>
      </c>
      <c r="H16" s="19">
        <v>718000</v>
      </c>
      <c r="J16" s="19">
        <v>1500</v>
      </c>
      <c r="K16" s="19">
        <v>9761</v>
      </c>
      <c r="M16" s="19">
        <v>2500</v>
      </c>
      <c r="N16" s="19">
        <v>850</v>
      </c>
    </row>
    <row r="17" spans="1:14">
      <c r="A17">
        <v>2019</v>
      </c>
      <c r="B17">
        <v>3</v>
      </c>
      <c r="D17">
        <v>95570</v>
      </c>
      <c r="E17">
        <v>146535</v>
      </c>
      <c r="F17" s="19"/>
      <c r="G17" s="19">
        <v>24386500</v>
      </c>
      <c r="H17" s="19">
        <v>12941000</v>
      </c>
      <c r="J17" s="19">
        <v>11915</v>
      </c>
      <c r="K17" s="19">
        <v>15157</v>
      </c>
      <c r="M17" s="19">
        <v>120</v>
      </c>
      <c r="N17" s="19">
        <v>300</v>
      </c>
    </row>
    <row r="18" spans="1:14">
      <c r="A18">
        <v>2019</v>
      </c>
      <c r="B18">
        <v>4</v>
      </c>
      <c r="D18">
        <v>71245</v>
      </c>
      <c r="E18">
        <v>143775</v>
      </c>
      <c r="F18" s="19"/>
      <c r="G18" s="19">
        <v>4632000</v>
      </c>
      <c r="H18" s="19">
        <v>23347000</v>
      </c>
      <c r="J18" s="19">
        <v>7053</v>
      </c>
      <c r="K18" s="19">
        <v>12438</v>
      </c>
      <c r="M18" s="19">
        <v>1770</v>
      </c>
      <c r="N18" s="19">
        <v>18505</v>
      </c>
    </row>
    <row r="19" spans="1:14">
      <c r="A19">
        <v>2019</v>
      </c>
      <c r="B19">
        <v>5</v>
      </c>
      <c r="D19">
        <v>76665</v>
      </c>
      <c r="E19">
        <v>216250</v>
      </c>
      <c r="F19" s="19"/>
      <c r="G19" s="19">
        <v>9711000</v>
      </c>
      <c r="H19" s="19">
        <v>27902000</v>
      </c>
      <c r="J19" s="19">
        <v>17530</v>
      </c>
      <c r="K19" s="19">
        <v>18030</v>
      </c>
      <c r="M19" s="19">
        <v>1200</v>
      </c>
      <c r="N19" s="19">
        <v>400</v>
      </c>
    </row>
    <row r="20" spans="1:14">
      <c r="A20">
        <v>2019</v>
      </c>
      <c r="B20">
        <v>6</v>
      </c>
      <c r="D20">
        <v>127840</v>
      </c>
      <c r="E20">
        <v>258315</v>
      </c>
      <c r="F20" s="19"/>
      <c r="G20" s="19">
        <v>10988000</v>
      </c>
      <c r="H20" s="19">
        <v>31531000</v>
      </c>
      <c r="J20" s="19">
        <v>3780</v>
      </c>
      <c r="K20" s="19">
        <v>25560</v>
      </c>
      <c r="M20" s="19">
        <v>500</v>
      </c>
      <c r="N20" s="19">
        <v>6570</v>
      </c>
    </row>
    <row r="21" spans="1:14">
      <c r="A21">
        <v>2019</v>
      </c>
      <c r="B21">
        <v>7</v>
      </c>
      <c r="D21">
        <v>133060</v>
      </c>
      <c r="E21">
        <v>309045</v>
      </c>
      <c r="F21" s="19"/>
      <c r="G21" s="19">
        <v>10848000</v>
      </c>
      <c r="H21" s="19">
        <v>39307500</v>
      </c>
      <c r="J21" s="19">
        <v>27910</v>
      </c>
      <c r="K21" s="19">
        <v>13380</v>
      </c>
      <c r="M21" s="19">
        <v>790</v>
      </c>
      <c r="N21" s="19">
        <v>2090</v>
      </c>
    </row>
    <row r="22" spans="1:14">
      <c r="A22">
        <v>2019</v>
      </c>
      <c r="B22">
        <v>8</v>
      </c>
      <c r="D22">
        <v>100785</v>
      </c>
      <c r="E22">
        <v>292730</v>
      </c>
      <c r="F22" s="19"/>
      <c r="G22" s="19">
        <v>11557500</v>
      </c>
      <c r="H22" s="19">
        <v>41529000</v>
      </c>
      <c r="J22" s="19">
        <v>4891</v>
      </c>
      <c r="K22" s="19">
        <v>14668</v>
      </c>
      <c r="M22" s="19">
        <v>750</v>
      </c>
      <c r="N22" s="19">
        <v>4500</v>
      </c>
    </row>
    <row r="23" spans="1:14">
      <c r="A23">
        <v>2019</v>
      </c>
      <c r="B23">
        <v>9</v>
      </c>
      <c r="D23">
        <v>104920</v>
      </c>
      <c r="E23">
        <v>143615</v>
      </c>
      <c r="F23" s="19"/>
      <c r="G23" s="19">
        <v>4293000</v>
      </c>
      <c r="H23" s="19">
        <v>10684000</v>
      </c>
      <c r="J23" s="19">
        <v>716</v>
      </c>
      <c r="K23" s="19">
        <v>41710</v>
      </c>
      <c r="M23" s="19">
        <v>1000</v>
      </c>
      <c r="N23" s="19">
        <v>1800</v>
      </c>
    </row>
    <row r="24" spans="1:14">
      <c r="A24">
        <v>2019</v>
      </c>
      <c r="B24">
        <v>10</v>
      </c>
      <c r="D24">
        <v>118735</v>
      </c>
      <c r="E24">
        <v>247940</v>
      </c>
      <c r="F24" s="19"/>
      <c r="G24" s="19">
        <v>12129605</v>
      </c>
      <c r="H24" s="19">
        <v>12533000</v>
      </c>
      <c r="J24" s="19">
        <v>2000</v>
      </c>
      <c r="K24" s="19">
        <v>34966</v>
      </c>
      <c r="M24" s="19">
        <v>7340</v>
      </c>
      <c r="N24" s="19">
        <v>950</v>
      </c>
    </row>
    <row r="25" spans="1:14">
      <c r="A25">
        <v>2019</v>
      </c>
      <c r="B25">
        <v>11</v>
      </c>
      <c r="D25">
        <v>126485</v>
      </c>
      <c r="E25">
        <v>205575</v>
      </c>
      <c r="F25" s="19"/>
      <c r="G25" s="19">
        <v>11008500</v>
      </c>
      <c r="H25" s="19">
        <v>37329500</v>
      </c>
      <c r="J25" s="19">
        <v>425</v>
      </c>
      <c r="K25" s="19">
        <v>8852</v>
      </c>
      <c r="M25" s="19">
        <v>2000</v>
      </c>
      <c r="N25" s="19">
        <v>10680</v>
      </c>
    </row>
    <row r="26" spans="1:14" ht="15" thickBot="1">
      <c r="A26" s="20">
        <v>2019</v>
      </c>
      <c r="B26" s="20">
        <v>12</v>
      </c>
      <c r="D26" s="20">
        <v>126240</v>
      </c>
      <c r="E26" s="20">
        <v>265425</v>
      </c>
      <c r="F26" s="19"/>
      <c r="G26" s="18">
        <v>12360500</v>
      </c>
      <c r="H26" s="18">
        <v>13414500</v>
      </c>
      <c r="J26" s="18">
        <v>170</v>
      </c>
      <c r="K26" s="18">
        <v>2339</v>
      </c>
      <c r="M26" s="18">
        <v>600</v>
      </c>
      <c r="N26" s="18">
        <v>1900</v>
      </c>
    </row>
    <row r="27" spans="1:14" ht="15" thickTop="1">
      <c r="A27">
        <v>2020</v>
      </c>
      <c r="B27">
        <v>1</v>
      </c>
      <c r="D27" s="19">
        <v>53075</v>
      </c>
      <c r="E27" s="19">
        <v>147870</v>
      </c>
      <c r="F27" s="19"/>
      <c r="G27" s="19">
        <v>9968000</v>
      </c>
      <c r="H27" s="19">
        <v>11101000</v>
      </c>
      <c r="J27" s="19">
        <v>556</v>
      </c>
      <c r="K27" s="19">
        <v>27966</v>
      </c>
      <c r="M27" s="19">
        <v>250</v>
      </c>
      <c r="N27" s="19">
        <v>2500</v>
      </c>
    </row>
    <row r="28" spans="1:14">
      <c r="A28">
        <v>2020</v>
      </c>
      <c r="B28">
        <v>2</v>
      </c>
      <c r="D28" s="19">
        <v>62025</v>
      </c>
      <c r="E28" s="19">
        <v>59070</v>
      </c>
      <c r="F28" s="19"/>
      <c r="G28" s="19">
        <v>680000</v>
      </c>
      <c r="H28" s="19">
        <v>770500</v>
      </c>
      <c r="J28" s="19">
        <v>400</v>
      </c>
      <c r="K28" s="19">
        <v>1000</v>
      </c>
      <c r="M28" s="19">
        <v>1000</v>
      </c>
      <c r="N28" s="19">
        <v>4900</v>
      </c>
    </row>
    <row r="29" spans="1:14">
      <c r="A29">
        <v>2020</v>
      </c>
      <c r="B29">
        <v>3</v>
      </c>
      <c r="D29" s="19">
        <v>12638</v>
      </c>
      <c r="E29" s="19">
        <v>165755</v>
      </c>
      <c r="F29" s="19"/>
      <c r="G29" s="19">
        <v>8692500</v>
      </c>
      <c r="H29" s="19">
        <v>23741000</v>
      </c>
      <c r="J29" s="19">
        <v>1350</v>
      </c>
      <c r="K29" s="19">
        <v>14705</v>
      </c>
      <c r="M29" s="19">
        <v>100</v>
      </c>
      <c r="N29" s="19">
        <v>400</v>
      </c>
    </row>
    <row r="30" spans="1:14">
      <c r="A30">
        <v>2020</v>
      </c>
      <c r="B30">
        <v>4</v>
      </c>
      <c r="D30" s="19">
        <v>42480</v>
      </c>
      <c r="E30" s="19">
        <v>50745</v>
      </c>
      <c r="F30" s="19"/>
      <c r="G30" s="19">
        <v>4460000</v>
      </c>
      <c r="H30" s="19">
        <v>3950500</v>
      </c>
      <c r="J30" s="19">
        <v>2500</v>
      </c>
      <c r="K30" s="19">
        <v>1500</v>
      </c>
      <c r="M30" s="19">
        <v>1550</v>
      </c>
      <c r="N30" s="19">
        <v>500</v>
      </c>
    </row>
    <row r="31" spans="1:14">
      <c r="A31">
        <v>2020</v>
      </c>
      <c r="B31">
        <v>5</v>
      </c>
      <c r="D31" s="19">
        <v>33645</v>
      </c>
      <c r="E31" s="19">
        <v>32825</v>
      </c>
      <c r="F31" s="19"/>
      <c r="G31" s="19">
        <v>927000</v>
      </c>
      <c r="H31" s="19">
        <v>11605000</v>
      </c>
      <c r="J31" s="19">
        <v>2400</v>
      </c>
      <c r="K31" s="19">
        <v>2000</v>
      </c>
      <c r="M31" s="19">
        <v>1300</v>
      </c>
      <c r="N31" s="19">
        <v>1400</v>
      </c>
    </row>
    <row r="32" spans="1:14">
      <c r="A32">
        <v>2020</v>
      </c>
      <c r="B32">
        <v>6</v>
      </c>
      <c r="D32" s="19">
        <v>97770</v>
      </c>
      <c r="E32" s="19">
        <v>162620</v>
      </c>
      <c r="F32" s="19"/>
      <c r="G32" s="19">
        <v>11777000</v>
      </c>
      <c r="H32" s="19">
        <v>16617500</v>
      </c>
      <c r="J32" s="19">
        <v>500</v>
      </c>
      <c r="K32" s="19">
        <v>800</v>
      </c>
      <c r="M32" s="19">
        <v>450</v>
      </c>
      <c r="N32" s="19">
        <v>5000</v>
      </c>
    </row>
    <row r="33" spans="1:14">
      <c r="A33">
        <v>2020</v>
      </c>
      <c r="B33">
        <v>7</v>
      </c>
      <c r="D33" s="19">
        <v>132205</v>
      </c>
      <c r="E33" s="19">
        <v>255510</v>
      </c>
      <c r="F33" s="19"/>
      <c r="G33" s="19">
        <v>6162500</v>
      </c>
      <c r="H33" s="19">
        <v>20983000</v>
      </c>
      <c r="J33" s="19">
        <v>10500</v>
      </c>
      <c r="K33" s="19">
        <v>3900</v>
      </c>
      <c r="M33" s="19">
        <v>500</v>
      </c>
      <c r="N33" s="19">
        <v>2500</v>
      </c>
    </row>
    <row r="34" spans="1:14">
      <c r="A34">
        <v>2020</v>
      </c>
      <c r="B34">
        <v>8</v>
      </c>
      <c r="D34" s="19">
        <v>117105</v>
      </c>
      <c r="E34" s="19">
        <v>115210</v>
      </c>
      <c r="F34" s="19"/>
      <c r="G34" s="19">
        <v>10455500</v>
      </c>
      <c r="H34" s="19">
        <v>10345000</v>
      </c>
      <c r="J34" s="19">
        <v>5000</v>
      </c>
      <c r="K34" s="19">
        <v>4500</v>
      </c>
      <c r="M34" s="19">
        <v>700</v>
      </c>
      <c r="N34" s="19">
        <v>1000</v>
      </c>
    </row>
    <row r="35" spans="1:14">
      <c r="A35">
        <v>2020</v>
      </c>
      <c r="B35">
        <v>9</v>
      </c>
      <c r="D35" s="19">
        <v>118700</v>
      </c>
      <c r="E35" s="19">
        <v>130070</v>
      </c>
      <c r="F35" s="19"/>
      <c r="G35" s="19">
        <v>8457000</v>
      </c>
      <c r="H35" s="19">
        <v>25342000</v>
      </c>
      <c r="J35" s="19">
        <v>600</v>
      </c>
      <c r="K35" s="19">
        <v>120</v>
      </c>
      <c r="M35" s="19">
        <v>950</v>
      </c>
      <c r="N35" s="19">
        <v>635</v>
      </c>
    </row>
    <row r="36" spans="1:14">
      <c r="A36">
        <v>2020</v>
      </c>
      <c r="B36">
        <v>10</v>
      </c>
      <c r="D36" s="19">
        <v>117165</v>
      </c>
      <c r="E36" s="19">
        <v>201250</v>
      </c>
      <c r="F36" s="19"/>
      <c r="G36" s="19">
        <v>11205000</v>
      </c>
      <c r="H36" s="19">
        <v>4378500</v>
      </c>
      <c r="J36" s="19">
        <v>3400</v>
      </c>
      <c r="K36" s="19">
        <v>3500</v>
      </c>
      <c r="M36" s="19">
        <v>200</v>
      </c>
      <c r="N36" s="19">
        <v>500</v>
      </c>
    </row>
    <row r="37" spans="1:14">
      <c r="A37">
        <v>2020</v>
      </c>
      <c r="B37">
        <v>11</v>
      </c>
      <c r="D37" s="19">
        <v>96395</v>
      </c>
      <c r="E37" s="19">
        <v>186650</v>
      </c>
      <c r="F37" s="19"/>
      <c r="G37" s="19">
        <v>15702500</v>
      </c>
      <c r="H37" s="19">
        <v>14559500</v>
      </c>
      <c r="J37" s="19">
        <v>1100</v>
      </c>
      <c r="K37" s="19">
        <v>1408</v>
      </c>
      <c r="M37" s="19">
        <v>1550</v>
      </c>
      <c r="N37" s="19">
        <v>7440</v>
      </c>
    </row>
    <row r="38" spans="1:14" ht="15" thickBot="1">
      <c r="A38" s="20">
        <v>2020</v>
      </c>
      <c r="B38" s="20">
        <v>12</v>
      </c>
      <c r="D38" s="18">
        <v>214335</v>
      </c>
      <c r="E38" s="18">
        <v>105725</v>
      </c>
      <c r="F38" s="19"/>
      <c r="G38" s="18">
        <v>23560000</v>
      </c>
      <c r="H38" s="18">
        <v>8388500</v>
      </c>
      <c r="J38" s="18">
        <v>4770</v>
      </c>
      <c r="K38" s="18">
        <v>750</v>
      </c>
      <c r="M38" s="18">
        <v>500</v>
      </c>
      <c r="N38" s="18">
        <v>300</v>
      </c>
    </row>
    <row r="39" spans="1:14" ht="15" thickTop="1">
      <c r="A39">
        <v>2021</v>
      </c>
      <c r="B39">
        <v>1</v>
      </c>
      <c r="D39" s="19">
        <v>77600</v>
      </c>
      <c r="E39" s="19">
        <v>123170</v>
      </c>
      <c r="F39" s="19"/>
      <c r="G39" s="19">
        <v>7096500</v>
      </c>
      <c r="H39" s="19">
        <v>17636500</v>
      </c>
      <c r="J39" s="19">
        <v>100</v>
      </c>
      <c r="K39" s="19">
        <v>1775</v>
      </c>
      <c r="M39" s="19">
        <v>100</v>
      </c>
      <c r="N39" s="19">
        <v>200</v>
      </c>
    </row>
    <row r="40" spans="1:14">
      <c r="A40">
        <v>2021</v>
      </c>
      <c r="B40">
        <v>2</v>
      </c>
      <c r="D40" s="19">
        <v>91310</v>
      </c>
      <c r="E40" s="19">
        <v>144925</v>
      </c>
      <c r="F40" s="19"/>
      <c r="G40" s="19">
        <v>6943000</v>
      </c>
      <c r="H40" s="19">
        <v>19098000</v>
      </c>
      <c r="J40" s="19">
        <v>300</v>
      </c>
      <c r="K40" s="19">
        <v>3055</v>
      </c>
      <c r="M40" s="19">
        <v>350</v>
      </c>
      <c r="N40" s="19">
        <v>350</v>
      </c>
    </row>
    <row r="41" spans="1:14">
      <c r="A41">
        <v>2021</v>
      </c>
      <c r="B41">
        <v>3</v>
      </c>
      <c r="D41" s="19">
        <v>106020</v>
      </c>
      <c r="E41" s="19">
        <v>153465</v>
      </c>
      <c r="F41" s="19"/>
      <c r="G41" s="19">
        <v>17399000</v>
      </c>
      <c r="H41" s="19">
        <v>24466000</v>
      </c>
      <c r="J41" s="19">
        <v>2451</v>
      </c>
      <c r="K41" s="19">
        <v>1600</v>
      </c>
      <c r="M41" s="19">
        <v>200</v>
      </c>
      <c r="N41" s="19">
        <v>100</v>
      </c>
    </row>
    <row r="42" spans="1:14">
      <c r="A42">
        <v>2021</v>
      </c>
      <c r="B42">
        <v>4</v>
      </c>
      <c r="D42" s="19">
        <v>82485</v>
      </c>
      <c r="E42" s="19">
        <v>180345</v>
      </c>
      <c r="F42" s="19"/>
      <c r="G42" s="19">
        <v>9252500</v>
      </c>
      <c r="H42" s="19">
        <v>9078500</v>
      </c>
      <c r="J42" s="19">
        <v>2140</v>
      </c>
      <c r="K42" s="19">
        <v>5601</v>
      </c>
      <c r="M42" s="19">
        <v>2000</v>
      </c>
      <c r="N42" s="19">
        <v>500</v>
      </c>
    </row>
    <row r="43" spans="1:14">
      <c r="A43">
        <v>2021</v>
      </c>
      <c r="B43">
        <v>5</v>
      </c>
      <c r="D43" s="19">
        <v>94525</v>
      </c>
      <c r="E43" s="19">
        <v>120951</v>
      </c>
      <c r="F43" s="19"/>
      <c r="G43" s="19">
        <v>24251</v>
      </c>
      <c r="H43" s="19">
        <v>36089</v>
      </c>
      <c r="J43" s="19">
        <v>1082</v>
      </c>
      <c r="K43" s="19">
        <v>197</v>
      </c>
      <c r="M43" s="19">
        <v>102</v>
      </c>
      <c r="N43" s="19">
        <v>1500</v>
      </c>
    </row>
    <row r="44" spans="1:14">
      <c r="A44">
        <v>2021</v>
      </c>
      <c r="B44">
        <v>6</v>
      </c>
      <c r="D44" s="19">
        <v>120200</v>
      </c>
      <c r="E44" s="19">
        <v>251549</v>
      </c>
      <c r="F44" s="19"/>
      <c r="G44" s="19">
        <v>25834</v>
      </c>
      <c r="H44" s="19">
        <v>71505</v>
      </c>
      <c r="J44" s="19">
        <v>132</v>
      </c>
      <c r="K44" s="19">
        <v>8091</v>
      </c>
      <c r="M44" s="19">
        <v>578</v>
      </c>
      <c r="N44" s="19">
        <v>9950</v>
      </c>
    </row>
    <row r="45" spans="1:14">
      <c r="A45">
        <v>2021</v>
      </c>
      <c r="B45">
        <v>7</v>
      </c>
      <c r="D45" s="19">
        <v>110210</v>
      </c>
      <c r="E45" s="19">
        <v>277395</v>
      </c>
      <c r="F45" s="19"/>
      <c r="G45" s="19">
        <v>28954</v>
      </c>
      <c r="H45" s="19">
        <v>62353</v>
      </c>
      <c r="J45" s="19">
        <v>2327</v>
      </c>
      <c r="K45" s="19">
        <v>8140</v>
      </c>
      <c r="M45" s="19">
        <v>1700</v>
      </c>
      <c r="N45" s="19">
        <v>6000</v>
      </c>
    </row>
    <row r="46" spans="1:14">
      <c r="A46">
        <v>2021</v>
      </c>
      <c r="B46">
        <v>8</v>
      </c>
      <c r="D46" s="19">
        <v>87955</v>
      </c>
      <c r="E46" s="19">
        <v>239815</v>
      </c>
      <c r="F46" s="19"/>
      <c r="G46" s="19">
        <v>16509</v>
      </c>
      <c r="H46" s="19">
        <v>92862</v>
      </c>
      <c r="J46" s="19">
        <v>1664</v>
      </c>
      <c r="K46" s="19">
        <v>2470</v>
      </c>
      <c r="M46" s="19">
        <v>2500</v>
      </c>
      <c r="N46" s="19">
        <v>4720</v>
      </c>
    </row>
    <row r="47" spans="1:14">
      <c r="A47">
        <v>2021</v>
      </c>
      <c r="B47">
        <v>9</v>
      </c>
      <c r="D47" s="19">
        <v>52160</v>
      </c>
      <c r="E47" s="19">
        <v>59390</v>
      </c>
      <c r="F47" s="19"/>
      <c r="G47" s="19">
        <v>1930500</v>
      </c>
      <c r="H47" s="19">
        <v>5849500</v>
      </c>
      <c r="J47" s="19">
        <v>500</v>
      </c>
      <c r="K47" s="19">
        <v>600</v>
      </c>
      <c r="M47" s="19">
        <v>5000</v>
      </c>
      <c r="N47" s="19">
        <v>4500</v>
      </c>
    </row>
    <row r="48" spans="1:14">
      <c r="A48">
        <v>2021</v>
      </c>
      <c r="B48">
        <v>10</v>
      </c>
      <c r="D48" s="19">
        <v>62865</v>
      </c>
      <c r="E48" s="19">
        <v>196515</v>
      </c>
      <c r="F48" s="19"/>
      <c r="G48" s="19">
        <v>2589000</v>
      </c>
      <c r="H48" s="19">
        <v>10066000</v>
      </c>
      <c r="J48" s="19">
        <v>1200</v>
      </c>
      <c r="K48" s="19">
        <v>4796</v>
      </c>
      <c r="M48" s="19">
        <v>900</v>
      </c>
      <c r="N48" s="19">
        <v>700</v>
      </c>
    </row>
    <row r="49" spans="1:14">
      <c r="A49">
        <v>2021</v>
      </c>
      <c r="B49">
        <v>11</v>
      </c>
      <c r="D49" s="19">
        <v>96105</v>
      </c>
      <c r="E49" s="19">
        <v>194525</v>
      </c>
      <c r="F49" s="19"/>
      <c r="G49" s="19">
        <v>6060000</v>
      </c>
      <c r="H49" s="19">
        <v>12179000</v>
      </c>
      <c r="J49" s="19">
        <v>900</v>
      </c>
      <c r="K49" s="19">
        <v>4900</v>
      </c>
      <c r="M49" s="19">
        <v>1050</v>
      </c>
      <c r="N49" s="19">
        <v>500</v>
      </c>
    </row>
    <row r="50" spans="1:14" ht="15" thickBot="1">
      <c r="A50" s="20">
        <v>2021</v>
      </c>
      <c r="B50" s="20">
        <v>12</v>
      </c>
      <c r="D50" s="18">
        <v>96035</v>
      </c>
      <c r="E50" s="18">
        <v>206410</v>
      </c>
      <c r="F50" s="19"/>
      <c r="G50" s="18">
        <v>5068500</v>
      </c>
      <c r="H50" s="18">
        <v>7740000</v>
      </c>
      <c r="J50" s="18">
        <v>4000</v>
      </c>
      <c r="K50" s="18">
        <v>2666</v>
      </c>
      <c r="M50" s="18">
        <v>450</v>
      </c>
      <c r="N50" s="18">
        <v>250</v>
      </c>
    </row>
    <row r="51" spans="1:14" ht="15" thickTop="1">
      <c r="A51">
        <v>2022</v>
      </c>
      <c r="B51">
        <v>1</v>
      </c>
      <c r="D51" s="19">
        <v>55550</v>
      </c>
      <c r="E51" s="19">
        <v>166145</v>
      </c>
      <c r="F51" s="19"/>
      <c r="G51" s="19">
        <v>4197500</v>
      </c>
      <c r="H51" s="19">
        <v>13647000</v>
      </c>
      <c r="J51" s="19">
        <v>3250</v>
      </c>
      <c r="K51" s="19">
        <v>4650</v>
      </c>
      <c r="M51" s="19">
        <v>200</v>
      </c>
      <c r="N51" s="19">
        <v>100</v>
      </c>
    </row>
    <row r="52" spans="1:14">
      <c r="A52">
        <v>2022</v>
      </c>
      <c r="B52">
        <v>2</v>
      </c>
      <c r="D52" s="19">
        <v>107010</v>
      </c>
      <c r="E52" s="19">
        <v>186265</v>
      </c>
      <c r="F52" s="19"/>
      <c r="G52" s="19">
        <v>2788200</v>
      </c>
      <c r="H52" s="19">
        <v>8781500</v>
      </c>
      <c r="J52" s="19">
        <v>10590</v>
      </c>
      <c r="K52" s="19">
        <v>1940</v>
      </c>
      <c r="M52" s="19">
        <v>567</v>
      </c>
      <c r="N52" s="19">
        <v>400</v>
      </c>
    </row>
    <row r="53" spans="1:14">
      <c r="A53">
        <v>2022</v>
      </c>
      <c r="B53">
        <v>3</v>
      </c>
      <c r="D53" s="19">
        <v>86355</v>
      </c>
      <c r="E53" s="19">
        <v>149165</v>
      </c>
      <c r="F53" s="19"/>
      <c r="G53" s="19">
        <v>4273500</v>
      </c>
      <c r="H53" s="19">
        <v>15515500</v>
      </c>
      <c r="J53" s="19">
        <v>2514</v>
      </c>
      <c r="K53" s="19">
        <v>3831</v>
      </c>
      <c r="M53" s="19">
        <v>35</v>
      </c>
      <c r="N53" s="19">
        <v>1500</v>
      </c>
    </row>
    <row r="54" spans="1:14">
      <c r="A54">
        <v>2022</v>
      </c>
      <c r="B54">
        <v>4</v>
      </c>
      <c r="D54" s="19">
        <v>63170</v>
      </c>
      <c r="E54" s="19">
        <v>116625</v>
      </c>
      <c r="F54" s="19"/>
      <c r="G54" s="19">
        <v>16985</v>
      </c>
      <c r="H54" s="19">
        <v>53935</v>
      </c>
      <c r="J54" s="19">
        <v>3594</v>
      </c>
      <c r="K54" s="19">
        <v>15871</v>
      </c>
      <c r="M54" s="19">
        <v>1178</v>
      </c>
      <c r="N54" s="19">
        <v>600</v>
      </c>
    </row>
    <row r="55" spans="1:14">
      <c r="A55">
        <v>2022</v>
      </c>
      <c r="B55">
        <v>5</v>
      </c>
      <c r="D55" s="19">
        <v>119410</v>
      </c>
      <c r="E55" s="19">
        <v>130765</v>
      </c>
      <c r="F55" s="19"/>
      <c r="G55" s="19">
        <v>27405</v>
      </c>
      <c r="H55" s="19">
        <v>35371</v>
      </c>
      <c r="J55" s="19">
        <v>6933</v>
      </c>
      <c r="K55" s="19">
        <v>43998</v>
      </c>
      <c r="M55" s="19">
        <v>4075</v>
      </c>
      <c r="N55" s="19">
        <v>1500</v>
      </c>
    </row>
    <row r="56" spans="1:14">
      <c r="A56">
        <v>2022</v>
      </c>
      <c r="B56">
        <v>6</v>
      </c>
      <c r="D56" s="19">
        <v>182770</v>
      </c>
      <c r="E56" s="19">
        <v>155445</v>
      </c>
      <c r="F56" s="19"/>
      <c r="G56" s="19">
        <v>38707</v>
      </c>
      <c r="H56" s="19">
        <v>42891</v>
      </c>
      <c r="J56" s="19">
        <v>9629</v>
      </c>
      <c r="K56" s="19">
        <v>6652</v>
      </c>
      <c r="M56" s="19">
        <v>1655</v>
      </c>
      <c r="N56" s="19">
        <v>1450</v>
      </c>
    </row>
    <row r="57" spans="1:14">
      <c r="A57">
        <v>2022</v>
      </c>
      <c r="B57">
        <v>7</v>
      </c>
      <c r="D57" s="19">
        <v>149485</v>
      </c>
      <c r="E57" s="19">
        <v>180220</v>
      </c>
      <c r="F57" s="19"/>
      <c r="G57" s="19">
        <v>37666</v>
      </c>
      <c r="H57" s="19">
        <v>26505</v>
      </c>
      <c r="J57" s="19">
        <v>3368</v>
      </c>
      <c r="K57" s="19">
        <v>16876</v>
      </c>
      <c r="M57" s="19">
        <v>6797</v>
      </c>
      <c r="N57" s="19">
        <v>4000</v>
      </c>
    </row>
    <row r="58" spans="1:14">
      <c r="A58">
        <v>2022</v>
      </c>
      <c r="B58">
        <v>8</v>
      </c>
      <c r="D58" s="19">
        <v>210440</v>
      </c>
      <c r="E58" s="19">
        <v>143775</v>
      </c>
      <c r="F58" s="19"/>
      <c r="G58" s="19">
        <v>23715000</v>
      </c>
      <c r="H58" s="19">
        <v>24869500</v>
      </c>
      <c r="J58" s="19">
        <v>17320</v>
      </c>
      <c r="K58" s="19">
        <v>720180</v>
      </c>
      <c r="M58" s="19">
        <v>10440</v>
      </c>
      <c r="N58" s="19">
        <v>4500</v>
      </c>
    </row>
    <row r="59" spans="1:14">
      <c r="A59">
        <v>2022</v>
      </c>
      <c r="B59">
        <v>9</v>
      </c>
      <c r="D59" s="19">
        <v>23385</v>
      </c>
      <c r="E59" s="19">
        <v>23320</v>
      </c>
      <c r="F59" s="19"/>
      <c r="G59" s="19">
        <v>1699500</v>
      </c>
      <c r="H59" s="19">
        <v>8187000</v>
      </c>
      <c r="J59" s="19">
        <v>200</v>
      </c>
      <c r="K59" s="19">
        <v>9060</v>
      </c>
      <c r="M59" s="19">
        <v>8000</v>
      </c>
      <c r="N59" s="19">
        <v>5000</v>
      </c>
    </row>
    <row r="60" spans="1:14">
      <c r="A60">
        <v>2022</v>
      </c>
      <c r="B60">
        <v>10</v>
      </c>
      <c r="D60" s="19">
        <v>94660</v>
      </c>
      <c r="E60" s="19">
        <v>164170</v>
      </c>
      <c r="F60" s="19"/>
      <c r="G60" s="19">
        <v>10409500</v>
      </c>
      <c r="H60" s="19">
        <v>18123000</v>
      </c>
      <c r="J60" s="19">
        <v>33564</v>
      </c>
      <c r="K60" s="19">
        <v>32067</v>
      </c>
      <c r="M60" s="19">
        <v>2230</v>
      </c>
      <c r="N60" s="19">
        <v>800</v>
      </c>
    </row>
    <row r="61" spans="1:14">
      <c r="A61">
        <v>2022</v>
      </c>
      <c r="B61">
        <v>11</v>
      </c>
      <c r="D61" s="19">
        <v>132837</v>
      </c>
      <c r="E61" s="19">
        <v>245302</v>
      </c>
      <c r="F61" s="19"/>
      <c r="G61" s="19">
        <v>3677500</v>
      </c>
      <c r="H61" s="19">
        <v>21266500</v>
      </c>
      <c r="J61" s="19">
        <v>9621</v>
      </c>
      <c r="K61" s="19">
        <v>67055</v>
      </c>
      <c r="M61" s="19">
        <v>3700</v>
      </c>
      <c r="N61" s="19">
        <v>1000</v>
      </c>
    </row>
    <row r="62" spans="1:14" ht="15" thickBot="1">
      <c r="A62" s="20">
        <v>2022</v>
      </c>
      <c r="B62" s="20">
        <v>12</v>
      </c>
      <c r="D62" s="20">
        <v>110315</v>
      </c>
      <c r="E62" s="20">
        <v>148635</v>
      </c>
      <c r="F62" s="19"/>
      <c r="G62" s="18">
        <v>9317500</v>
      </c>
      <c r="H62" s="18">
        <v>3668000</v>
      </c>
      <c r="J62" s="18">
        <v>13988</v>
      </c>
      <c r="K62" s="18">
        <v>37979</v>
      </c>
      <c r="M62" s="18">
        <v>675</v>
      </c>
      <c r="N62" s="18">
        <v>400</v>
      </c>
    </row>
    <row r="63" spans="1:14" ht="15" thickTop="1">
      <c r="A63">
        <v>2023</v>
      </c>
      <c r="B63">
        <v>1</v>
      </c>
      <c r="D63" s="19">
        <v>181420</v>
      </c>
      <c r="E63" s="19">
        <v>118020</v>
      </c>
      <c r="F63" s="19"/>
      <c r="G63" s="19">
        <v>12810000</v>
      </c>
      <c r="H63" s="19">
        <v>22440500</v>
      </c>
      <c r="J63" s="19">
        <v>4405</v>
      </c>
      <c r="K63" s="19">
        <v>16620</v>
      </c>
      <c r="M63" s="19">
        <v>1200</v>
      </c>
      <c r="N63" s="19">
        <v>100</v>
      </c>
    </row>
    <row r="64" spans="1:14">
      <c r="A64">
        <v>2023</v>
      </c>
      <c r="B64">
        <v>2</v>
      </c>
      <c r="D64" s="19">
        <v>62025</v>
      </c>
      <c r="E64" s="19">
        <v>125285</v>
      </c>
      <c r="F64" s="19"/>
      <c r="G64" s="19">
        <v>7414000</v>
      </c>
      <c r="H64" s="19">
        <v>13531500</v>
      </c>
      <c r="J64" s="19">
        <v>3150</v>
      </c>
      <c r="K64" s="19">
        <v>20266</v>
      </c>
      <c r="M64" s="19">
        <v>400</v>
      </c>
      <c r="N64" s="19">
        <v>400</v>
      </c>
    </row>
    <row r="65" spans="1:14">
      <c r="A65">
        <v>2023</v>
      </c>
      <c r="B65">
        <v>3</v>
      </c>
      <c r="D65" s="19">
        <v>189300</v>
      </c>
      <c r="E65" s="19">
        <v>179225</v>
      </c>
      <c r="F65" s="19"/>
      <c r="G65" s="19">
        <v>11274000</v>
      </c>
      <c r="H65" s="19">
        <v>25112000</v>
      </c>
      <c r="J65" s="19">
        <v>12690</v>
      </c>
      <c r="K65" s="19">
        <v>15943</v>
      </c>
      <c r="M65" s="19">
        <v>100</v>
      </c>
      <c r="N65" s="19">
        <v>200</v>
      </c>
    </row>
    <row r="66" spans="1:14">
      <c r="A66">
        <v>2023</v>
      </c>
      <c r="B66">
        <v>4</v>
      </c>
      <c r="D66" s="19">
        <v>145695</v>
      </c>
      <c r="E66" s="19">
        <v>207700</v>
      </c>
      <c r="F66" s="19"/>
      <c r="G66" s="19">
        <v>11926000</v>
      </c>
      <c r="H66" s="19">
        <v>23491000</v>
      </c>
      <c r="J66" s="19">
        <v>17967</v>
      </c>
      <c r="K66" s="19">
        <v>28581</v>
      </c>
      <c r="M66" s="19">
        <v>1000</v>
      </c>
      <c r="N66" s="19">
        <v>550</v>
      </c>
    </row>
    <row r="67" spans="1:14">
      <c r="A67">
        <v>2023</v>
      </c>
      <c r="B67">
        <v>5</v>
      </c>
      <c r="D67" s="19">
        <v>173160</v>
      </c>
      <c r="E67" s="19">
        <v>115720</v>
      </c>
      <c r="F67" s="19"/>
      <c r="G67" s="19">
        <v>8353000</v>
      </c>
      <c r="H67" s="19">
        <v>25386000</v>
      </c>
      <c r="J67" s="19">
        <v>19760</v>
      </c>
      <c r="K67" s="19">
        <v>18125</v>
      </c>
      <c r="M67" s="19">
        <v>820</v>
      </c>
      <c r="N67" s="19">
        <v>1500</v>
      </c>
    </row>
    <row r="68" spans="1:14">
      <c r="A68">
        <v>2023</v>
      </c>
      <c r="B68">
        <v>6</v>
      </c>
      <c r="D68" s="19">
        <v>163510</v>
      </c>
      <c r="E68" s="19">
        <v>152748</v>
      </c>
      <c r="F68" s="19"/>
      <c r="G68" s="19">
        <v>9641000</v>
      </c>
      <c r="H68" s="19">
        <v>17108500</v>
      </c>
      <c r="J68" s="19">
        <v>10317</v>
      </c>
      <c r="K68" s="19">
        <v>15539</v>
      </c>
      <c r="M68" s="19">
        <v>800</v>
      </c>
      <c r="N68" s="19">
        <v>1400</v>
      </c>
    </row>
    <row r="69" spans="1:14">
      <c r="A69">
        <v>2023</v>
      </c>
      <c r="B69">
        <v>7</v>
      </c>
      <c r="D69" s="19">
        <v>126140</v>
      </c>
      <c r="E69" s="19">
        <v>256512</v>
      </c>
      <c r="F69" s="19"/>
      <c r="G69" s="19">
        <v>10239000</v>
      </c>
      <c r="H69" s="19">
        <v>26130500</v>
      </c>
      <c r="J69" s="19">
        <v>22571</v>
      </c>
      <c r="K69" s="19">
        <v>55111</v>
      </c>
      <c r="M69" s="19">
        <v>3710</v>
      </c>
      <c r="N69" s="19">
        <v>5000</v>
      </c>
    </row>
    <row r="70" spans="1:14">
      <c r="A70">
        <v>2023</v>
      </c>
      <c r="B70">
        <v>8</v>
      </c>
      <c r="D70" s="19">
        <v>158595</v>
      </c>
      <c r="E70" s="19">
        <v>307370</v>
      </c>
      <c r="F70" s="19"/>
      <c r="G70" s="19">
        <v>23125000</v>
      </c>
      <c r="H70" s="19">
        <v>12624000</v>
      </c>
      <c r="J70" s="19">
        <v>5121</v>
      </c>
      <c r="K70" s="19">
        <v>40640</v>
      </c>
      <c r="M70" s="19">
        <v>1580</v>
      </c>
      <c r="N70" s="19">
        <v>3500</v>
      </c>
    </row>
    <row r="71" spans="1:14">
      <c r="A71">
        <v>2023</v>
      </c>
      <c r="B71">
        <v>9</v>
      </c>
      <c r="D71" s="19">
        <v>62185</v>
      </c>
      <c r="E71" s="19">
        <v>44365</v>
      </c>
      <c r="F71" s="19"/>
      <c r="G71" s="19">
        <v>7192000</v>
      </c>
      <c r="H71" s="19">
        <v>1651500</v>
      </c>
      <c r="J71" s="19">
        <v>1520</v>
      </c>
      <c r="K71" s="19">
        <v>1400</v>
      </c>
      <c r="M71" s="19">
        <v>300</v>
      </c>
      <c r="N71" s="19">
        <v>3000</v>
      </c>
    </row>
    <row r="72" spans="1:14">
      <c r="A72">
        <v>2023</v>
      </c>
      <c r="B72">
        <v>10</v>
      </c>
      <c r="D72" s="19">
        <v>227430</v>
      </c>
      <c r="E72" s="19">
        <v>259145</v>
      </c>
      <c r="F72" s="19"/>
      <c r="G72" s="19">
        <v>27991000</v>
      </c>
      <c r="H72" s="19">
        <v>29100000</v>
      </c>
      <c r="J72" s="19">
        <v>20801</v>
      </c>
      <c r="K72" s="19">
        <v>2533</v>
      </c>
      <c r="M72" s="19">
        <v>1635</v>
      </c>
      <c r="N72" s="19">
        <v>900</v>
      </c>
    </row>
    <row r="73" spans="1:14">
      <c r="A73">
        <v>2023</v>
      </c>
      <c r="B73">
        <v>11</v>
      </c>
      <c r="D73" s="19">
        <v>267895</v>
      </c>
      <c r="E73" s="19">
        <v>196065</v>
      </c>
      <c r="F73" s="19"/>
      <c r="G73" s="19">
        <v>20945000</v>
      </c>
      <c r="H73" s="19">
        <v>32644500</v>
      </c>
      <c r="J73" s="19">
        <v>27511</v>
      </c>
      <c r="K73" s="19">
        <v>20485</v>
      </c>
      <c r="M73" s="19">
        <v>2500</v>
      </c>
      <c r="N73" s="19">
        <v>1500</v>
      </c>
    </row>
    <row r="74" spans="1:14" ht="15" thickBot="1">
      <c r="A74" s="20">
        <v>2023</v>
      </c>
      <c r="B74" s="20">
        <v>12</v>
      </c>
      <c r="D74" s="18">
        <v>358985</v>
      </c>
      <c r="E74" s="18">
        <v>193080</v>
      </c>
      <c r="F74" s="19"/>
      <c r="G74" s="18">
        <v>25399500</v>
      </c>
      <c r="H74" s="18">
        <v>44932000</v>
      </c>
      <c r="J74" s="18">
        <v>17689</v>
      </c>
      <c r="K74" s="18">
        <v>33375</v>
      </c>
      <c r="M74" s="18">
        <v>1760</v>
      </c>
      <c r="N74" s="18">
        <v>600</v>
      </c>
    </row>
    <row r="75" spans="1:14" ht="15" thickTop="1"/>
  </sheetData>
  <mergeCells count="4">
    <mergeCell ref="D1:E1"/>
    <mergeCell ref="G1:H1"/>
    <mergeCell ref="J1:K1"/>
    <mergeCell ref="M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50"/>
  <sheetViews>
    <sheetView workbookViewId="0">
      <selection activeCell="K1" sqref="K1:K49"/>
    </sheetView>
  </sheetViews>
  <sheetFormatPr defaultRowHeight="14.4"/>
  <sheetData>
    <row r="1" spans="1:11" ht="28.8">
      <c r="A1" s="57" t="s">
        <v>70</v>
      </c>
      <c r="C1" s="58" t="s">
        <v>22</v>
      </c>
      <c r="D1" s="59" t="s">
        <v>71</v>
      </c>
      <c r="E1" s="59" t="s">
        <v>72</v>
      </c>
      <c r="F1" s="59" t="s">
        <v>73</v>
      </c>
      <c r="G1" s="59" t="s">
        <v>74</v>
      </c>
      <c r="H1" s="59" t="s">
        <v>49</v>
      </c>
      <c r="I1" s="59" t="s">
        <v>75</v>
      </c>
      <c r="K1" s="58" t="s">
        <v>47</v>
      </c>
    </row>
    <row r="2" spans="1:11">
      <c r="A2">
        <v>-23</v>
      </c>
      <c r="B2" t="s">
        <v>76</v>
      </c>
      <c r="C2" s="60">
        <v>53075</v>
      </c>
      <c r="H2" s="61">
        <f>C2/$I$13</f>
        <v>0.58029881425517837</v>
      </c>
      <c r="K2">
        <v>2020</v>
      </c>
    </row>
    <row r="3" spans="1:11">
      <c r="A3">
        <v>-22</v>
      </c>
      <c r="B3" t="s">
        <v>77</v>
      </c>
      <c r="C3" s="60">
        <v>62025</v>
      </c>
      <c r="H3" s="61">
        <f t="shared" ref="H3:H13" si="0">C3/$I$13</f>
        <v>0.67815419602783689</v>
      </c>
      <c r="K3">
        <v>2020</v>
      </c>
    </row>
    <row r="4" spans="1:11">
      <c r="A4">
        <v>-21</v>
      </c>
      <c r="B4" t="s">
        <v>78</v>
      </c>
      <c r="C4" s="60">
        <v>12638</v>
      </c>
      <c r="H4" s="61">
        <f t="shared" si="0"/>
        <v>0.13817835920031926</v>
      </c>
      <c r="K4">
        <v>2020</v>
      </c>
    </row>
    <row r="5" spans="1:11">
      <c r="A5">
        <v>-20</v>
      </c>
      <c r="B5" t="s">
        <v>79</v>
      </c>
      <c r="C5" s="60">
        <v>42480</v>
      </c>
      <c r="H5" s="61">
        <f t="shared" si="0"/>
        <v>0.46445772264832746</v>
      </c>
      <c r="K5">
        <v>2020</v>
      </c>
    </row>
    <row r="6" spans="1:11">
      <c r="A6">
        <v>-19</v>
      </c>
      <c r="B6" t="s">
        <v>80</v>
      </c>
      <c r="C6" s="60">
        <v>33645</v>
      </c>
      <c r="H6" s="61">
        <f t="shared" si="0"/>
        <v>0.3678597005297311</v>
      </c>
      <c r="K6">
        <v>2020</v>
      </c>
    </row>
    <row r="7" spans="1:11">
      <c r="A7">
        <v>-18</v>
      </c>
      <c r="B7" t="s">
        <v>81</v>
      </c>
      <c r="C7" s="60">
        <v>97770</v>
      </c>
      <c r="H7" s="61">
        <f t="shared" si="0"/>
        <v>1.0689743771969626</v>
      </c>
      <c r="K7">
        <v>2020</v>
      </c>
    </row>
    <row r="8" spans="1:11">
      <c r="A8">
        <v>-17</v>
      </c>
      <c r="B8" t="s">
        <v>82</v>
      </c>
      <c r="C8" s="60">
        <v>132205</v>
      </c>
      <c r="H8" s="61">
        <f t="shared" si="0"/>
        <v>1.4454715918719898</v>
      </c>
      <c r="K8">
        <v>2020</v>
      </c>
    </row>
    <row r="9" spans="1:11">
      <c r="A9">
        <v>-16</v>
      </c>
      <c r="B9" t="s">
        <v>83</v>
      </c>
      <c r="C9" s="60">
        <v>117105</v>
      </c>
      <c r="H9" s="61">
        <f t="shared" si="0"/>
        <v>1.2803748025125326</v>
      </c>
      <c r="K9">
        <v>2020</v>
      </c>
    </row>
    <row r="10" spans="1:11">
      <c r="A10">
        <v>-15</v>
      </c>
      <c r="B10" t="s">
        <v>84</v>
      </c>
      <c r="C10" s="60">
        <v>118700</v>
      </c>
      <c r="H10" s="61">
        <f t="shared" si="0"/>
        <v>1.2978138342362633</v>
      </c>
      <c r="K10">
        <v>2020</v>
      </c>
    </row>
    <row r="11" spans="1:11">
      <c r="A11">
        <v>-14</v>
      </c>
      <c r="B11" t="s">
        <v>85</v>
      </c>
      <c r="C11" s="60">
        <v>117165</v>
      </c>
      <c r="E11" t="s">
        <v>86</v>
      </c>
      <c r="F11" t="s">
        <v>87</v>
      </c>
      <c r="G11" t="s">
        <v>88</v>
      </c>
      <c r="H11" s="61">
        <f t="shared" si="0"/>
        <v>1.2810308162450867</v>
      </c>
      <c r="K11">
        <v>2020</v>
      </c>
    </row>
    <row r="12" spans="1:11">
      <c r="A12">
        <v>0.05</v>
      </c>
      <c r="B12" t="s">
        <v>89</v>
      </c>
      <c r="C12" s="60">
        <v>96395</v>
      </c>
      <c r="E12" s="62">
        <v>0</v>
      </c>
      <c r="F12" s="63">
        <v>0.62747029534554877</v>
      </c>
      <c r="G12" s="64">
        <v>0.45188697427929037</v>
      </c>
      <c r="H12" s="61">
        <f t="shared" si="0"/>
        <v>1.0539407291592637</v>
      </c>
      <c r="K12">
        <v>2020</v>
      </c>
    </row>
    <row r="13" spans="1:11">
      <c r="A13">
        <v>-12</v>
      </c>
      <c r="B13" t="s">
        <v>90</v>
      </c>
      <c r="C13" s="65">
        <v>214335</v>
      </c>
      <c r="H13" s="66">
        <f t="shared" si="0"/>
        <v>2.3434450561165079</v>
      </c>
      <c r="I13" s="67">
        <f>AVERAGE(C2:C13)</f>
        <v>91461.5</v>
      </c>
      <c r="K13">
        <v>2020</v>
      </c>
    </row>
    <row r="14" spans="1:11">
      <c r="A14">
        <v>-11</v>
      </c>
      <c r="B14" t="s">
        <v>76</v>
      </c>
      <c r="C14" s="60">
        <v>77600</v>
      </c>
      <c r="G14" s="15">
        <f>(H2+H14)/2</f>
        <v>0.72227280731506538</v>
      </c>
      <c r="H14" s="61">
        <f>C14/$I$25</f>
        <v>0.86424680037495238</v>
      </c>
      <c r="K14">
        <v>2021</v>
      </c>
    </row>
    <row r="15" spans="1:11">
      <c r="A15">
        <v>-10</v>
      </c>
      <c r="B15" t="s">
        <v>77</v>
      </c>
      <c r="C15" s="60">
        <v>91310</v>
      </c>
      <c r="G15" s="15">
        <f>(H3+H15)/2</f>
        <v>0.8475460113015274</v>
      </c>
      <c r="H15" s="61">
        <f t="shared" ref="H15:H25" si="1">C15/$I$25</f>
        <v>1.0169378265752178</v>
      </c>
      <c r="K15">
        <v>2021</v>
      </c>
    </row>
    <row r="16" spans="1:11">
      <c r="A16">
        <v>-9</v>
      </c>
      <c r="B16" t="s">
        <v>78</v>
      </c>
      <c r="C16" s="60">
        <v>106020</v>
      </c>
      <c r="G16" s="15">
        <f t="shared" ref="G16:G25" si="2">(H4+H16)/2</f>
        <v>0.65947220650578109</v>
      </c>
      <c r="H16" s="61">
        <f t="shared" si="1"/>
        <v>1.180766053811243</v>
      </c>
      <c r="K16">
        <v>2021</v>
      </c>
    </row>
    <row r="17" spans="1:11">
      <c r="A17">
        <v>-8</v>
      </c>
      <c r="B17" t="s">
        <v>79</v>
      </c>
      <c r="C17" s="60">
        <v>82485</v>
      </c>
      <c r="G17" s="15">
        <f t="shared" si="2"/>
        <v>0.69155487504148294</v>
      </c>
      <c r="H17" s="61">
        <f t="shared" si="1"/>
        <v>0.91865202743463847</v>
      </c>
      <c r="K17">
        <v>2021</v>
      </c>
    </row>
    <row r="18" spans="1:11">
      <c r="A18">
        <v>-7</v>
      </c>
      <c r="B18" t="s">
        <v>80</v>
      </c>
      <c r="C18" s="60">
        <v>94525</v>
      </c>
      <c r="G18" s="15">
        <f t="shared" si="2"/>
        <v>0.71030181421745819</v>
      </c>
      <c r="H18" s="61">
        <f t="shared" si="1"/>
        <v>1.0527439279051853</v>
      </c>
      <c r="K18">
        <v>2021</v>
      </c>
    </row>
    <row r="19" spans="1:11">
      <c r="A19">
        <v>-6</v>
      </c>
      <c r="B19" t="s">
        <v>81</v>
      </c>
      <c r="C19" s="60">
        <v>120200</v>
      </c>
      <c r="G19" s="15">
        <f t="shared" si="2"/>
        <v>1.203832970847639</v>
      </c>
      <c r="H19" s="61">
        <f t="shared" si="1"/>
        <v>1.3386915644983155</v>
      </c>
      <c r="K19">
        <v>2021</v>
      </c>
    </row>
    <row r="20" spans="1:11">
      <c r="A20">
        <v>-5</v>
      </c>
      <c r="B20" t="s">
        <v>82</v>
      </c>
      <c r="C20" s="60">
        <v>110210</v>
      </c>
      <c r="G20" s="15">
        <f t="shared" si="2"/>
        <v>1.3364512590115329</v>
      </c>
      <c r="H20" s="61">
        <f t="shared" si="1"/>
        <v>1.2274309261510761</v>
      </c>
      <c r="K20">
        <v>2021</v>
      </c>
    </row>
    <row r="21" spans="1:11">
      <c r="A21">
        <v>-4</v>
      </c>
      <c r="B21" t="s">
        <v>83</v>
      </c>
      <c r="C21" s="60">
        <v>87955</v>
      </c>
      <c r="G21" s="15">
        <f t="shared" si="2"/>
        <v>1.1299736598063883</v>
      </c>
      <c r="H21" s="61">
        <f t="shared" si="1"/>
        <v>0.97957251710024407</v>
      </c>
      <c r="K21">
        <v>2021</v>
      </c>
    </row>
    <row r="22" spans="1:11">
      <c r="A22">
        <v>-3</v>
      </c>
      <c r="B22" t="s">
        <v>84</v>
      </c>
      <c r="C22" s="60">
        <v>52160</v>
      </c>
      <c r="G22" s="15">
        <f t="shared" si="2"/>
        <v>0.93936512013074447</v>
      </c>
      <c r="H22" s="61">
        <f t="shared" si="1"/>
        <v>0.58091640602522576</v>
      </c>
      <c r="K22">
        <v>2021</v>
      </c>
    </row>
    <row r="23" spans="1:11">
      <c r="A23">
        <v>-2</v>
      </c>
      <c r="B23" t="s">
        <v>85</v>
      </c>
      <c r="C23" s="60">
        <v>62865</v>
      </c>
      <c r="G23" s="15">
        <f t="shared" si="2"/>
        <v>0.99058547967906008</v>
      </c>
      <c r="H23" s="61">
        <f t="shared" si="1"/>
        <v>0.7001401431130333</v>
      </c>
      <c r="K23">
        <v>2021</v>
      </c>
    </row>
    <row r="24" spans="1:11">
      <c r="A24">
        <v>-1</v>
      </c>
      <c r="B24" t="s">
        <v>89</v>
      </c>
      <c r="C24" s="60">
        <v>96105</v>
      </c>
      <c r="G24" s="15">
        <f t="shared" si="2"/>
        <v>1.0621407173504747</v>
      </c>
      <c r="H24" s="61">
        <f t="shared" si="1"/>
        <v>1.0703407055416856</v>
      </c>
      <c r="K24">
        <v>2021</v>
      </c>
    </row>
    <row r="25" spans="1:11">
      <c r="A25">
        <v>0</v>
      </c>
      <c r="B25" t="s">
        <v>90</v>
      </c>
      <c r="C25" s="65">
        <v>96035</v>
      </c>
      <c r="E25" s="15">
        <f>(I25-I13)/12</f>
        <v>-139.36111111111072</v>
      </c>
      <c r="F25" s="15">
        <f>I25+5.5*E25</f>
        <v>89022.680555555562</v>
      </c>
      <c r="G25" s="15">
        <f t="shared" si="2"/>
        <v>1.7065030787928452</v>
      </c>
      <c r="H25" s="66">
        <f t="shared" si="1"/>
        <v>1.0695611014691824</v>
      </c>
      <c r="I25" s="67">
        <f>AVERAGE(C14:C25)</f>
        <v>89789.166666666672</v>
      </c>
      <c r="K25">
        <v>2021</v>
      </c>
    </row>
    <row r="26" spans="1:11">
      <c r="A26">
        <v>1</v>
      </c>
      <c r="B26" t="s">
        <v>76</v>
      </c>
      <c r="C26" s="68">
        <v>55550</v>
      </c>
      <c r="D26">
        <f>(E25+F25)*G14</f>
        <v>64198.00465862063</v>
      </c>
      <c r="E26">
        <f>$E$12*(F26-F25)+(1-$E$12)*E25</f>
        <v>-139.36111111111072</v>
      </c>
      <c r="F26">
        <f t="shared" ref="F26:F49" si="3">$F$12*C26/G14+(1-$F$12)*(E25+F25)</f>
        <v>81370.41575717146</v>
      </c>
      <c r="G26" s="15">
        <f t="shared" ref="G26:G49" si="4">$G$12*C26/F26+(1-$G$12)*G14</f>
        <v>0.70438158093671022</v>
      </c>
      <c r="H26" s="61">
        <f t="shared" ref="H26:H49" si="5">ABS(C26-D26)</f>
        <v>8648.0046586206299</v>
      </c>
      <c r="K26">
        <v>2022</v>
      </c>
    </row>
    <row r="27" spans="1:11">
      <c r="A27">
        <v>2</v>
      </c>
      <c r="B27" t="s">
        <v>77</v>
      </c>
      <c r="C27" s="68">
        <v>107010</v>
      </c>
      <c r="D27">
        <f>(E26+F26)*G15</f>
        <v>68847.056359084861</v>
      </c>
      <c r="E27">
        <f t="shared" ref="E27:E49" si="6">$E$12*(F27-F26)+(1-$E$12)*E26</f>
        <v>-139.36111111111072</v>
      </c>
      <c r="F27">
        <f t="shared" si="3"/>
        <v>109484.52194849965</v>
      </c>
      <c r="G27" s="15">
        <f t="shared" si="4"/>
        <v>0.90622462846058327</v>
      </c>
      <c r="H27" s="61">
        <f t="shared" si="5"/>
        <v>38162.943640915139</v>
      </c>
      <c r="K27">
        <v>2022</v>
      </c>
    </row>
    <row r="28" spans="1:11">
      <c r="A28">
        <v>3</v>
      </c>
      <c r="B28" t="s">
        <v>78</v>
      </c>
      <c r="C28" s="68">
        <v>86355</v>
      </c>
      <c r="D28">
        <f t="shared" ref="D28:D47" si="7">(E27+F27)*G16</f>
        <v>72110.09448816214</v>
      </c>
      <c r="E28">
        <f>$E$12*(F28-F27)+(1-$E$12)*E27</f>
        <v>-139.36111111111072</v>
      </c>
      <c r="F28">
        <f t="shared" si="3"/>
        <v>122898.81022625628</v>
      </c>
      <c r="G28" s="15">
        <f t="shared" si="4"/>
        <v>0.67898424415611047</v>
      </c>
      <c r="H28" s="61">
        <f t="shared" si="5"/>
        <v>14244.90551183786</v>
      </c>
      <c r="K28">
        <v>2022</v>
      </c>
    </row>
    <row r="29" spans="1:11">
      <c r="A29">
        <v>4</v>
      </c>
      <c r="B29" t="s">
        <v>79</v>
      </c>
      <c r="C29" s="68">
        <v>63170</v>
      </c>
      <c r="D29">
        <f t="shared" si="7"/>
        <v>84894.895492985495</v>
      </c>
      <c r="E29">
        <f t="shared" si="6"/>
        <v>-139.36111111111072</v>
      </c>
      <c r="F29">
        <f t="shared" si="3"/>
        <v>103047.7428090952</v>
      </c>
      <c r="G29" s="15">
        <f t="shared" si="4"/>
        <v>0.65606455271512731</v>
      </c>
      <c r="H29" s="61">
        <f t="shared" si="5"/>
        <v>21724.895492985495</v>
      </c>
      <c r="K29">
        <v>2022</v>
      </c>
    </row>
    <row r="30" spans="1:11">
      <c r="A30">
        <v>5</v>
      </c>
      <c r="B30" t="s">
        <v>80</v>
      </c>
      <c r="C30" s="68">
        <v>119410</v>
      </c>
      <c r="D30">
        <f t="shared" si="7"/>
        <v>73096.010218260766</v>
      </c>
      <c r="E30">
        <f t="shared" si="6"/>
        <v>-139.36111111111072</v>
      </c>
      <c r="F30">
        <f t="shared" si="3"/>
        <v>143821.48689537804</v>
      </c>
      <c r="G30" s="15">
        <f t="shared" si="4"/>
        <v>0.76451178236597017</v>
      </c>
      <c r="H30" s="61">
        <f t="shared" si="5"/>
        <v>46313.989781739234</v>
      </c>
      <c r="K30">
        <v>2022</v>
      </c>
    </row>
    <row r="31" spans="1:11">
      <c r="A31">
        <v>6</v>
      </c>
      <c r="B31" t="s">
        <v>81</v>
      </c>
      <c r="C31" s="68">
        <v>182770</v>
      </c>
      <c r="D31">
        <f t="shared" si="7"/>
        <v>172969.28034057817</v>
      </c>
      <c r="E31">
        <f t="shared" si="6"/>
        <v>-139.36111111111072</v>
      </c>
      <c r="F31">
        <f t="shared" si="3"/>
        <v>148790.52587648755</v>
      </c>
      <c r="G31" s="15">
        <f t="shared" si="4"/>
        <v>1.2149214866327693</v>
      </c>
      <c r="H31" s="61">
        <f t="shared" si="5"/>
        <v>9800.7196594218258</v>
      </c>
      <c r="K31">
        <v>2022</v>
      </c>
    </row>
    <row r="32" spans="1:11">
      <c r="A32">
        <v>7</v>
      </c>
      <c r="B32" t="s">
        <v>82</v>
      </c>
      <c r="C32" s="68">
        <v>149485</v>
      </c>
      <c r="D32">
        <f t="shared" si="7"/>
        <v>198665.03630421814</v>
      </c>
      <c r="E32">
        <f t="shared" si="6"/>
        <v>-139.36111111111072</v>
      </c>
      <c r="F32">
        <f t="shared" si="3"/>
        <v>125560.90113111823</v>
      </c>
      <c r="G32" s="15">
        <f t="shared" si="4"/>
        <v>1.2705148711159588</v>
      </c>
      <c r="H32" s="61">
        <f t="shared" si="5"/>
        <v>49180.036304218142</v>
      </c>
      <c r="K32">
        <v>2022</v>
      </c>
    </row>
    <row r="33" spans="1:11">
      <c r="A33">
        <v>8</v>
      </c>
      <c r="B33" t="s">
        <v>83</v>
      </c>
      <c r="C33" s="68">
        <v>210440</v>
      </c>
      <c r="D33">
        <f t="shared" si="7"/>
        <v>141723.03659496084</v>
      </c>
      <c r="E33">
        <f t="shared" si="6"/>
        <v>-139.36111111111072</v>
      </c>
      <c r="F33">
        <f t="shared" si="3"/>
        <v>163579.8218072101</v>
      </c>
      <c r="G33" s="15">
        <f t="shared" si="4"/>
        <v>1.2006908440618189</v>
      </c>
      <c r="H33" s="61">
        <f t="shared" si="5"/>
        <v>68716.963405039161</v>
      </c>
      <c r="K33">
        <v>2022</v>
      </c>
    </row>
    <row r="34" spans="1:11">
      <c r="A34">
        <v>9</v>
      </c>
      <c r="B34" t="s">
        <v>84</v>
      </c>
      <c r="C34" s="68">
        <v>23385</v>
      </c>
      <c r="D34">
        <f t="shared" si="7"/>
        <v>153530.26799601523</v>
      </c>
      <c r="E34">
        <f t="shared" si="6"/>
        <v>-139.36111111111072</v>
      </c>
      <c r="F34">
        <f t="shared" si="3"/>
        <v>76506.969131158607</v>
      </c>
      <c r="G34" s="15">
        <f t="shared" si="4"/>
        <v>0.65300132094131169</v>
      </c>
      <c r="H34" s="61">
        <f t="shared" si="5"/>
        <v>130145.26799601523</v>
      </c>
      <c r="K34">
        <v>2022</v>
      </c>
    </row>
    <row r="35" spans="1:11">
      <c r="A35">
        <v>10</v>
      </c>
      <c r="B35" t="s">
        <v>85</v>
      </c>
      <c r="C35" s="68">
        <v>94660</v>
      </c>
      <c r="D35">
        <f t="shared" si="7"/>
        <v>75648.643622481191</v>
      </c>
      <c r="E35">
        <f t="shared" si="6"/>
        <v>-139.36111111111072</v>
      </c>
      <c r="F35">
        <f t="shared" si="3"/>
        <v>88410.043171616766</v>
      </c>
      <c r="G35" s="15">
        <f t="shared" si="4"/>
        <v>1.0267849512891494</v>
      </c>
      <c r="H35" s="61">
        <f t="shared" si="5"/>
        <v>19011.356377518809</v>
      </c>
      <c r="K35">
        <v>2022</v>
      </c>
    </row>
    <row r="36" spans="1:11">
      <c r="A36">
        <v>11</v>
      </c>
      <c r="B36" t="s">
        <v>89</v>
      </c>
      <c r="C36" s="68">
        <v>132837</v>
      </c>
      <c r="D36">
        <f t="shared" si="7"/>
        <v>93755.885564761149</v>
      </c>
      <c r="E36">
        <f t="shared" si="6"/>
        <v>-139.36111111111072</v>
      </c>
      <c r="F36">
        <f t="shared" si="3"/>
        <v>111358.24288604636</v>
      </c>
      <c r="G36" s="15">
        <f t="shared" si="4"/>
        <v>1.1212200119067899</v>
      </c>
      <c r="H36" s="61">
        <f t="shared" si="5"/>
        <v>39081.114435238851</v>
      </c>
      <c r="K36">
        <v>2022</v>
      </c>
    </row>
    <row r="37" spans="1:11">
      <c r="A37">
        <v>12</v>
      </c>
      <c r="B37" t="s">
        <v>90</v>
      </c>
      <c r="C37" s="69">
        <v>110315</v>
      </c>
      <c r="D37">
        <f t="shared" si="7"/>
        <v>189795.36416882445</v>
      </c>
      <c r="E37">
        <f t="shared" si="6"/>
        <v>-139.36111111111072</v>
      </c>
      <c r="F37">
        <f t="shared" si="3"/>
        <v>81994.458919242272</v>
      </c>
      <c r="G37" s="15">
        <f t="shared" si="4"/>
        <v>1.5433233995888931</v>
      </c>
      <c r="H37" s="61">
        <f t="shared" si="5"/>
        <v>79480.364168824453</v>
      </c>
      <c r="K37">
        <v>2022</v>
      </c>
    </row>
    <row r="38" spans="1:11">
      <c r="A38">
        <v>13</v>
      </c>
      <c r="B38" t="s">
        <v>76</v>
      </c>
      <c r="C38" s="68">
        <v>181420</v>
      </c>
      <c r="D38">
        <f t="shared" si="7"/>
        <v>57657.223201820474</v>
      </c>
      <c r="E38">
        <f t="shared" si="6"/>
        <v>-139.36111111111072</v>
      </c>
      <c r="F38">
        <f t="shared" si="3"/>
        <v>192104.2414712398</v>
      </c>
      <c r="G38" s="15">
        <f t="shared" si="4"/>
        <v>0.81283514336393048</v>
      </c>
      <c r="H38" s="61">
        <f t="shared" si="5"/>
        <v>123762.77679817952</v>
      </c>
      <c r="K38">
        <v>2023</v>
      </c>
    </row>
    <row r="39" spans="1:11">
      <c r="A39">
        <v>14</v>
      </c>
      <c r="B39" t="s">
        <v>77</v>
      </c>
      <c r="C39" s="68">
        <v>62025</v>
      </c>
      <c r="D39">
        <f t="shared" si="7"/>
        <v>173963.30238183794</v>
      </c>
      <c r="E39">
        <f t="shared" si="6"/>
        <v>-139.36111111111072</v>
      </c>
      <c r="F39">
        <f t="shared" si="3"/>
        <v>114458.75500208647</v>
      </c>
      <c r="G39" s="15">
        <f t="shared" si="4"/>
        <v>0.74159028746639932</v>
      </c>
      <c r="H39" s="61">
        <f t="shared" si="5"/>
        <v>111938.30238183794</v>
      </c>
      <c r="K39">
        <v>2023</v>
      </c>
    </row>
    <row r="40" spans="1:11">
      <c r="A40">
        <v>15</v>
      </c>
      <c r="B40" t="s">
        <v>78</v>
      </c>
      <c r="C40" s="68">
        <v>189300</v>
      </c>
      <c r="D40">
        <f t="shared" si="7"/>
        <v>77621.067253448578</v>
      </c>
      <c r="E40">
        <f t="shared" si="6"/>
        <v>-139.36111111111072</v>
      </c>
      <c r="F40">
        <f t="shared" si="3"/>
        <v>217525.34236102964</v>
      </c>
      <c r="G40" s="15">
        <f t="shared" si="4"/>
        <v>0.76541177885012313</v>
      </c>
      <c r="H40" s="61">
        <f t="shared" si="5"/>
        <v>111678.93274655142</v>
      </c>
      <c r="K40">
        <v>2023</v>
      </c>
    </row>
    <row r="41" spans="1:11">
      <c r="A41">
        <v>16</v>
      </c>
      <c r="B41" t="s">
        <v>79</v>
      </c>
      <c r="C41" s="68">
        <v>145695</v>
      </c>
      <c r="D41">
        <f t="shared" si="7"/>
        <v>142619.23655526683</v>
      </c>
      <c r="E41">
        <f t="shared" si="6"/>
        <v>-139.36111111111072</v>
      </c>
      <c r="F41">
        <f t="shared" si="3"/>
        <v>220327.68902713747</v>
      </c>
      <c r="G41" s="15">
        <f t="shared" si="4"/>
        <v>0.65841458908076744</v>
      </c>
      <c r="H41" s="61">
        <f t="shared" si="5"/>
        <v>3075.7634447331657</v>
      </c>
      <c r="K41">
        <v>2023</v>
      </c>
    </row>
    <row r="42" spans="1:11">
      <c r="A42">
        <v>17</v>
      </c>
      <c r="B42" t="s">
        <v>80</v>
      </c>
      <c r="C42" s="68">
        <v>173160</v>
      </c>
      <c r="D42">
        <f t="shared" si="7"/>
        <v>168336.571031264</v>
      </c>
      <c r="E42">
        <f t="shared" si="6"/>
        <v>-139.36111111111072</v>
      </c>
      <c r="F42">
        <f t="shared" si="3"/>
        <v>224147.13989172227</v>
      </c>
      <c r="G42" s="15">
        <f t="shared" si="4"/>
        <v>0.76813432425990058</v>
      </c>
      <c r="H42" s="61">
        <f t="shared" si="5"/>
        <v>4823.4289687359997</v>
      </c>
      <c r="K42">
        <v>2023</v>
      </c>
    </row>
    <row r="43" spans="1:11">
      <c r="A43">
        <v>18</v>
      </c>
      <c r="B43" t="s">
        <v>81</v>
      </c>
      <c r="C43" s="68">
        <v>163510</v>
      </c>
      <c r="D43">
        <f t="shared" si="7"/>
        <v>272151.86361344461</v>
      </c>
      <c r="E43">
        <f t="shared" si="6"/>
        <v>-139.36111111111072</v>
      </c>
      <c r="F43">
        <f t="shared" si="3"/>
        <v>167897.53379897447</v>
      </c>
      <c r="G43" s="15">
        <f t="shared" si="4"/>
        <v>1.1059924605185558</v>
      </c>
      <c r="H43" s="61">
        <f t="shared" si="5"/>
        <v>108641.86361344461</v>
      </c>
      <c r="K43">
        <v>2023</v>
      </c>
    </row>
    <row r="44" spans="1:11">
      <c r="A44">
        <v>19</v>
      </c>
      <c r="B44" t="s">
        <v>82</v>
      </c>
      <c r="C44" s="68">
        <v>126140</v>
      </c>
      <c r="D44">
        <f t="shared" si="7"/>
        <v>213139.25315116948</v>
      </c>
      <c r="E44">
        <f t="shared" si="6"/>
        <v>-139.36111111111072</v>
      </c>
      <c r="F44">
        <f t="shared" si="3"/>
        <v>124791.77511893309</v>
      </c>
      <c r="G44" s="15">
        <f t="shared" si="4"/>
        <v>1.1531548191957257</v>
      </c>
      <c r="H44" s="61">
        <f t="shared" si="5"/>
        <v>86999.253151169483</v>
      </c>
      <c r="K44">
        <v>2023</v>
      </c>
    </row>
    <row r="45" spans="1:11">
      <c r="A45">
        <v>20</v>
      </c>
      <c r="B45" t="s">
        <v>83</v>
      </c>
      <c r="C45" s="68">
        <v>158595</v>
      </c>
      <c r="D45">
        <f t="shared" si="7"/>
        <v>149669.01218939509</v>
      </c>
      <c r="E45">
        <f t="shared" si="6"/>
        <v>-139.36111111111072</v>
      </c>
      <c r="F45">
        <f t="shared" si="3"/>
        <v>129317.05539779385</v>
      </c>
      <c r="G45" s="15">
        <f t="shared" si="4"/>
        <v>1.2123104450125923</v>
      </c>
      <c r="H45" s="61">
        <f t="shared" si="5"/>
        <v>8925.9878106049146</v>
      </c>
      <c r="K45">
        <v>2023</v>
      </c>
    </row>
    <row r="46" spans="1:11">
      <c r="A46">
        <v>21</v>
      </c>
      <c r="B46" t="s">
        <v>84</v>
      </c>
      <c r="C46" s="68">
        <v>62185</v>
      </c>
      <c r="D46">
        <f t="shared" si="7"/>
        <v>84353.205005356765</v>
      </c>
      <c r="E46">
        <f t="shared" si="6"/>
        <v>-139.36111111111072</v>
      </c>
      <c r="F46">
        <f t="shared" si="3"/>
        <v>107876.22107995086</v>
      </c>
      <c r="G46" s="15">
        <f t="shared" si="4"/>
        <v>0.61840773878861599</v>
      </c>
      <c r="H46" s="61">
        <f t="shared" si="5"/>
        <v>22168.205005356765</v>
      </c>
      <c r="K46">
        <v>2023</v>
      </c>
    </row>
    <row r="47" spans="1:11">
      <c r="A47">
        <v>22</v>
      </c>
      <c r="B47" t="s">
        <v>85</v>
      </c>
      <c r="C47" s="68">
        <v>227430</v>
      </c>
      <c r="D47">
        <f t="shared" si="7"/>
        <v>110622.58651515104</v>
      </c>
      <c r="E47">
        <f t="shared" si="6"/>
        <v>-139.36111111111072</v>
      </c>
      <c r="F47">
        <f t="shared" si="3"/>
        <v>179118.0991911976</v>
      </c>
      <c r="G47" s="15">
        <f t="shared" si="4"/>
        <v>1.1365645569519418</v>
      </c>
      <c r="H47" s="61">
        <f t="shared" si="5"/>
        <v>116807.41348484896</v>
      </c>
      <c r="K47">
        <v>2023</v>
      </c>
    </row>
    <row r="48" spans="1:11">
      <c r="A48">
        <v>23</v>
      </c>
      <c r="B48" t="s">
        <v>89</v>
      </c>
      <c r="C48" s="68">
        <v>267895</v>
      </c>
      <c r="D48">
        <f>(E47+F47)*G36</f>
        <v>200674.54284121678</v>
      </c>
      <c r="E48">
        <f t="shared" si="6"/>
        <v>-139.36111111111072</v>
      </c>
      <c r="F48">
        <f t="shared" si="3"/>
        <v>216597.43883352162</v>
      </c>
      <c r="G48" s="15">
        <f t="shared" si="4"/>
        <v>1.1734643072302959</v>
      </c>
      <c r="H48" s="61">
        <f t="shared" si="5"/>
        <v>67220.457158783218</v>
      </c>
      <c r="K48">
        <v>2023</v>
      </c>
    </row>
    <row r="49" spans="1:11">
      <c r="A49">
        <v>24</v>
      </c>
      <c r="B49" t="s">
        <v>90</v>
      </c>
      <c r="C49" s="69">
        <v>358985</v>
      </c>
      <c r="D49">
        <f>(E48+F48)*G37</f>
        <v>334064.81637902738</v>
      </c>
      <c r="E49">
        <f t="shared" si="6"/>
        <v>-139.36111111111072</v>
      </c>
      <c r="F49">
        <f t="shared" si="3"/>
        <v>226589.89778091689</v>
      </c>
      <c r="G49" s="15">
        <f t="shared" si="4"/>
        <v>1.5618374493017555</v>
      </c>
      <c r="H49" s="61">
        <f t="shared" si="5"/>
        <v>24920.183620972617</v>
      </c>
      <c r="K49">
        <v>2023</v>
      </c>
    </row>
    <row r="50" spans="1:11">
      <c r="C50">
        <f>(E49+F49)*G38</f>
        <v>184066.95443884056</v>
      </c>
      <c r="G50" t="s">
        <v>91</v>
      </c>
      <c r="H50" s="16">
        <f>AVERAGE(H26:H49)</f>
        <v>54811.380400733069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50"/>
  <sheetViews>
    <sheetView workbookViewId="0">
      <selection activeCell="N8" sqref="N8"/>
    </sheetView>
  </sheetViews>
  <sheetFormatPr defaultRowHeight="14.4"/>
  <sheetData>
    <row r="1" spans="1:11" ht="28.8">
      <c r="A1" s="57" t="s">
        <v>70</v>
      </c>
      <c r="C1" s="58" t="s">
        <v>44</v>
      </c>
      <c r="D1" s="59" t="s">
        <v>71</v>
      </c>
      <c r="E1" s="59" t="s">
        <v>72</v>
      </c>
      <c r="F1" s="59" t="s">
        <v>73</v>
      </c>
      <c r="G1" s="59" t="s">
        <v>74</v>
      </c>
      <c r="H1" s="59" t="s">
        <v>49</v>
      </c>
      <c r="I1" s="59" t="s">
        <v>75</v>
      </c>
      <c r="K1" s="58" t="s">
        <v>47</v>
      </c>
    </row>
    <row r="2" spans="1:11">
      <c r="A2">
        <v>-23</v>
      </c>
      <c r="B2" t="s">
        <v>76</v>
      </c>
      <c r="C2" s="60">
        <v>147870</v>
      </c>
      <c r="H2" s="61">
        <f>C2/$I$13</f>
        <v>1.099882228971673</v>
      </c>
      <c r="K2">
        <v>2020</v>
      </c>
    </row>
    <row r="3" spans="1:11">
      <c r="A3">
        <v>-22</v>
      </c>
      <c r="B3" t="s">
        <v>77</v>
      </c>
      <c r="C3" s="60">
        <v>59070</v>
      </c>
      <c r="H3" s="61">
        <f t="shared" ref="H3:H13" si="0">C3/$I$13</f>
        <v>0.4393727143122792</v>
      </c>
      <c r="K3">
        <v>2020</v>
      </c>
    </row>
    <row r="4" spans="1:11">
      <c r="A4">
        <v>-21</v>
      </c>
      <c r="B4" t="s">
        <v>78</v>
      </c>
      <c r="C4" s="60">
        <v>165755</v>
      </c>
      <c r="H4" s="61">
        <f t="shared" si="0"/>
        <v>1.2329139031798177</v>
      </c>
      <c r="K4">
        <v>2020</v>
      </c>
    </row>
    <row r="5" spans="1:11">
      <c r="A5">
        <v>-20</v>
      </c>
      <c r="B5" t="s">
        <v>79</v>
      </c>
      <c r="C5" s="60">
        <v>50745</v>
      </c>
      <c r="H5" s="61">
        <f t="shared" si="0"/>
        <v>0.37744994731296105</v>
      </c>
      <c r="K5">
        <v>2020</v>
      </c>
    </row>
    <row r="6" spans="1:11">
      <c r="A6">
        <v>-19</v>
      </c>
      <c r="B6" t="s">
        <v>80</v>
      </c>
      <c r="C6" s="60">
        <v>32825</v>
      </c>
      <c r="H6" s="61">
        <f t="shared" si="0"/>
        <v>0.24415793714746173</v>
      </c>
      <c r="K6">
        <v>2020</v>
      </c>
    </row>
    <row r="7" spans="1:11">
      <c r="A7">
        <v>-18</v>
      </c>
      <c r="B7" t="s">
        <v>81</v>
      </c>
      <c r="C7" s="60">
        <v>162620</v>
      </c>
      <c r="H7" s="61">
        <f t="shared" si="0"/>
        <v>1.2095952395710656</v>
      </c>
      <c r="K7">
        <v>2020</v>
      </c>
    </row>
    <row r="8" spans="1:11">
      <c r="A8">
        <v>-17</v>
      </c>
      <c r="B8" t="s">
        <v>82</v>
      </c>
      <c r="C8" s="60">
        <v>255510</v>
      </c>
      <c r="H8" s="61">
        <f t="shared" si="0"/>
        <v>1.9005268703898843</v>
      </c>
      <c r="K8">
        <v>2020</v>
      </c>
    </row>
    <row r="9" spans="1:11">
      <c r="A9">
        <v>-16</v>
      </c>
      <c r="B9" t="s">
        <v>83</v>
      </c>
      <c r="C9" s="60">
        <v>115210</v>
      </c>
      <c r="H9" s="61">
        <f t="shared" si="0"/>
        <v>0.85695158990888243</v>
      </c>
      <c r="K9">
        <v>2020</v>
      </c>
    </row>
    <row r="10" spans="1:11">
      <c r="A10">
        <v>-15</v>
      </c>
      <c r="B10" t="s">
        <v>84</v>
      </c>
      <c r="C10" s="60">
        <v>130070</v>
      </c>
      <c r="H10" s="61">
        <f t="shared" si="0"/>
        <v>0.96748279923138913</v>
      </c>
      <c r="K10">
        <v>2020</v>
      </c>
    </row>
    <row r="11" spans="1:11">
      <c r="A11">
        <v>-14</v>
      </c>
      <c r="B11" t="s">
        <v>85</v>
      </c>
      <c r="C11" s="60">
        <v>201250</v>
      </c>
      <c r="E11" t="s">
        <v>86</v>
      </c>
      <c r="F11" t="s">
        <v>87</v>
      </c>
      <c r="G11" t="s">
        <v>88</v>
      </c>
      <c r="H11" s="61">
        <f t="shared" si="0"/>
        <v>1.4969317547883221</v>
      </c>
      <c r="K11">
        <v>2020</v>
      </c>
    </row>
    <row r="12" spans="1:11">
      <c r="A12">
        <v>0.05</v>
      </c>
      <c r="B12" t="s">
        <v>89</v>
      </c>
      <c r="C12" s="60">
        <v>186650</v>
      </c>
      <c r="E12" s="62">
        <v>3.2192862419520657E-2</v>
      </c>
      <c r="F12" s="63">
        <v>0.6887993612980271</v>
      </c>
      <c r="G12" s="64">
        <v>0.26446972937707924</v>
      </c>
      <c r="H12" s="61">
        <f t="shared" si="0"/>
        <v>1.3883344697204489</v>
      </c>
      <c r="K12">
        <v>2020</v>
      </c>
    </row>
    <row r="13" spans="1:11">
      <c r="A13">
        <v>-12</v>
      </c>
      <c r="B13" t="s">
        <v>90</v>
      </c>
      <c r="C13" s="65">
        <v>105725</v>
      </c>
      <c r="H13" s="66">
        <f t="shared" si="0"/>
        <v>0.7864005454658155</v>
      </c>
      <c r="I13" s="67">
        <f>AVERAGE(C2:C13)</f>
        <v>134441.66666666666</v>
      </c>
      <c r="K13">
        <v>2020</v>
      </c>
    </row>
    <row r="14" spans="1:11">
      <c r="A14">
        <v>-11</v>
      </c>
      <c r="B14" t="s">
        <v>76</v>
      </c>
      <c r="C14" s="60">
        <v>123170</v>
      </c>
      <c r="G14" s="15">
        <f>(H2+H14)/2</f>
        <v>0.8939185308152453</v>
      </c>
      <c r="H14" s="61">
        <f>C14/$I$25</f>
        <v>0.68795483265881763</v>
      </c>
      <c r="K14">
        <v>2021</v>
      </c>
    </row>
    <row r="15" spans="1:11">
      <c r="A15">
        <v>-10</v>
      </c>
      <c r="B15" t="s">
        <v>77</v>
      </c>
      <c r="C15" s="60">
        <v>144925</v>
      </c>
      <c r="G15" s="15">
        <f>(H3+H15)/2</f>
        <v>0.62441906042430206</v>
      </c>
      <c r="H15" s="61">
        <f t="shared" ref="H15:H25" si="1">C15/$I$25</f>
        <v>0.80946540653632504</v>
      </c>
      <c r="K15">
        <v>2021</v>
      </c>
    </row>
    <row r="16" spans="1:11">
      <c r="A16">
        <v>-9</v>
      </c>
      <c r="B16" t="s">
        <v>78</v>
      </c>
      <c r="C16" s="60">
        <v>153465</v>
      </c>
      <c r="G16" s="15">
        <f t="shared" ref="G16:G25" si="2">(H4+H16)/2</f>
        <v>1.0450393515005423</v>
      </c>
      <c r="H16" s="61">
        <f t="shared" si="1"/>
        <v>0.85716479982126692</v>
      </c>
      <c r="K16">
        <v>2021</v>
      </c>
    </row>
    <row r="17" spans="1:11">
      <c r="A17">
        <v>-8</v>
      </c>
      <c r="B17" t="s">
        <v>79</v>
      </c>
      <c r="C17" s="60">
        <v>180345</v>
      </c>
      <c r="G17" s="15">
        <f t="shared" si="2"/>
        <v>0.69237527119587516</v>
      </c>
      <c r="H17" s="61">
        <f t="shared" si="1"/>
        <v>1.0073005950787892</v>
      </c>
      <c r="K17">
        <v>2021</v>
      </c>
    </row>
    <row r="18" spans="1:11">
      <c r="A18">
        <v>-7</v>
      </c>
      <c r="B18" t="s">
        <v>80</v>
      </c>
      <c r="C18" s="60">
        <v>120951</v>
      </c>
      <c r="G18" s="15">
        <f t="shared" si="2"/>
        <v>0.45985937356243206</v>
      </c>
      <c r="H18" s="61">
        <f t="shared" si="1"/>
        <v>0.67556080997740242</v>
      </c>
      <c r="K18">
        <v>2021</v>
      </c>
    </row>
    <row r="19" spans="1:11">
      <c r="A19">
        <v>-6</v>
      </c>
      <c r="B19" t="s">
        <v>81</v>
      </c>
      <c r="C19" s="60">
        <v>251549</v>
      </c>
      <c r="G19" s="15">
        <f t="shared" si="2"/>
        <v>1.3072996503144478</v>
      </c>
      <c r="H19" s="61">
        <f t="shared" si="1"/>
        <v>1.40500406105783</v>
      </c>
      <c r="K19">
        <v>2021</v>
      </c>
    </row>
    <row r="20" spans="1:11">
      <c r="A20">
        <v>-5</v>
      </c>
      <c r="B20" t="s">
        <v>82</v>
      </c>
      <c r="C20" s="60">
        <v>277395</v>
      </c>
      <c r="G20" s="15">
        <f t="shared" si="2"/>
        <v>1.7249457068738929</v>
      </c>
      <c r="H20" s="61">
        <f t="shared" si="1"/>
        <v>1.5493645433579015</v>
      </c>
      <c r="K20">
        <v>2021</v>
      </c>
    </row>
    <row r="21" spans="1:11">
      <c r="A21">
        <v>-4</v>
      </c>
      <c r="B21" t="s">
        <v>83</v>
      </c>
      <c r="C21" s="60">
        <v>239815</v>
      </c>
      <c r="G21" s="15">
        <f t="shared" si="2"/>
        <v>1.09820823058842</v>
      </c>
      <c r="H21" s="61">
        <f t="shared" si="1"/>
        <v>1.3394648712679578</v>
      </c>
      <c r="K21">
        <v>2021</v>
      </c>
    </row>
    <row r="22" spans="1:11">
      <c r="A22">
        <v>-3</v>
      </c>
      <c r="B22" t="s">
        <v>84</v>
      </c>
      <c r="C22" s="60">
        <v>59390</v>
      </c>
      <c r="G22" s="15">
        <f t="shared" si="2"/>
        <v>0.64960012134828848</v>
      </c>
      <c r="H22" s="61">
        <f t="shared" si="1"/>
        <v>0.33171744346518778</v>
      </c>
      <c r="K22">
        <v>2021</v>
      </c>
    </row>
    <row r="23" spans="1:11">
      <c r="A23">
        <v>-2</v>
      </c>
      <c r="B23" t="s">
        <v>85</v>
      </c>
      <c r="C23" s="60">
        <v>196515</v>
      </c>
      <c r="G23" s="15">
        <f t="shared" si="2"/>
        <v>1.2972742071008572</v>
      </c>
      <c r="H23" s="61">
        <f t="shared" si="1"/>
        <v>1.0976166594133925</v>
      </c>
      <c r="K23">
        <v>2021</v>
      </c>
    </row>
    <row r="24" spans="1:11">
      <c r="A24">
        <v>-1</v>
      </c>
      <c r="B24" t="s">
        <v>89</v>
      </c>
      <c r="C24" s="60">
        <v>194525</v>
      </c>
      <c r="G24" s="15">
        <f t="shared" si="2"/>
        <v>1.2374180825624106</v>
      </c>
      <c r="H24" s="61">
        <f t="shared" si="1"/>
        <v>1.086501695404372</v>
      </c>
      <c r="K24">
        <v>2021</v>
      </c>
    </row>
    <row r="25" spans="1:11">
      <c r="A25">
        <v>0</v>
      </c>
      <c r="B25" t="s">
        <v>90</v>
      </c>
      <c r="C25" s="65">
        <v>206410</v>
      </c>
      <c r="E25" s="15">
        <f>(I25-I13)/12</f>
        <v>3716.3541666666665</v>
      </c>
      <c r="F25" s="15">
        <f>I25+5.5*E25</f>
        <v>199477.86458333331</v>
      </c>
      <c r="G25" s="15">
        <f t="shared" si="2"/>
        <v>0.96964241371328663</v>
      </c>
      <c r="H25" s="66">
        <f t="shared" si="1"/>
        <v>1.1528842819607579</v>
      </c>
      <c r="I25" s="67">
        <f>AVERAGE(C14:C25)</f>
        <v>179037.91666666666</v>
      </c>
      <c r="K25">
        <v>2021</v>
      </c>
    </row>
    <row r="26" spans="1:11">
      <c r="A26">
        <v>1</v>
      </c>
      <c r="B26" t="s">
        <v>76</v>
      </c>
      <c r="C26" s="68">
        <v>166145</v>
      </c>
      <c r="D26">
        <f>(E25+F25)*G14</f>
        <v>181639.07749515155</v>
      </c>
      <c r="E26">
        <f>$E$12*(F26-F25)+(1-$E$12)*E25</f>
        <v>3332.0101602964428</v>
      </c>
      <c r="F26">
        <f t="shared" ref="F26:F49" si="3">$F$12*C26/G14+(1-$F$12)*(E25+F25)</f>
        <v>191255.42308276007</v>
      </c>
      <c r="G26" s="15">
        <f t="shared" ref="G26:G49" si="4">$G$12*C26/F26+(1-$G$12)*G14</f>
        <v>0.88725094804300153</v>
      </c>
      <c r="H26" s="61">
        <f t="shared" ref="H26:H49" si="5">ABS(C26-D26)</f>
        <v>15494.077495151549</v>
      </c>
      <c r="K26">
        <v>2022</v>
      </c>
    </row>
    <row r="27" spans="1:11">
      <c r="A27">
        <v>2</v>
      </c>
      <c r="B27" t="s">
        <v>77</v>
      </c>
      <c r="C27" s="68">
        <v>186265</v>
      </c>
      <c r="D27">
        <f>(E26+F26)*G15</f>
        <v>121504.10223600596</v>
      </c>
      <c r="E27">
        <f t="shared" ref="E27:E49" si="6">$E$12*(F27-F26)+(1-$E$12)*E26</f>
        <v>5631.804699920498</v>
      </c>
      <c r="F27">
        <f t="shared" si="3"/>
        <v>266025.45915247482</v>
      </c>
      <c r="G27" s="15">
        <f t="shared" si="4"/>
        <v>0.64445483375052037</v>
      </c>
      <c r="H27" s="61">
        <f t="shared" si="5"/>
        <v>64760.897763994042</v>
      </c>
      <c r="K27">
        <v>2022</v>
      </c>
    </row>
    <row r="28" spans="1:11">
      <c r="A28">
        <v>3</v>
      </c>
      <c r="B28" t="s">
        <v>78</v>
      </c>
      <c r="C28" s="68">
        <v>149165</v>
      </c>
      <c r="D28">
        <f t="shared" ref="D28:D47" si="7">(E27+F27)*G16</f>
        <v>283892.53084671893</v>
      </c>
      <c r="E28">
        <f>$E$12*(F28-F27)+(1-$E$12)*E27</f>
        <v>2773.0556353273819</v>
      </c>
      <c r="F28">
        <f t="shared" si="3"/>
        <v>182856.55308180948</v>
      </c>
      <c r="G28" s="15">
        <f t="shared" si="4"/>
        <v>0.98439892151151698</v>
      </c>
      <c r="H28" s="61">
        <f t="shared" si="5"/>
        <v>134727.53084671893</v>
      </c>
      <c r="K28">
        <v>2022</v>
      </c>
    </row>
    <row r="29" spans="1:11">
      <c r="A29">
        <v>4</v>
      </c>
      <c r="B29" t="s">
        <v>79</v>
      </c>
      <c r="C29" s="68">
        <v>116625</v>
      </c>
      <c r="D29">
        <f t="shared" si="7"/>
        <v>128525.35067751183</v>
      </c>
      <c r="E29">
        <f t="shared" si="6"/>
        <v>2391.9279122307885</v>
      </c>
      <c r="F29">
        <f t="shared" si="3"/>
        <v>173790.71976933425</v>
      </c>
      <c r="G29" s="15">
        <f t="shared" si="4"/>
        <v>0.68673954834089623</v>
      </c>
      <c r="H29" s="61">
        <f t="shared" si="5"/>
        <v>11900.350677511829</v>
      </c>
      <c r="K29">
        <v>2022</v>
      </c>
    </row>
    <row r="30" spans="1:11">
      <c r="A30">
        <v>5</v>
      </c>
      <c r="B30" t="s">
        <v>80</v>
      </c>
      <c r="C30" s="68">
        <v>130765</v>
      </c>
      <c r="D30">
        <f t="shared" si="7"/>
        <v>81019.24199541517</v>
      </c>
      <c r="E30">
        <f t="shared" si="6"/>
        <v>4790.6688045419814</v>
      </c>
      <c r="F30">
        <f t="shared" si="3"/>
        <v>250694.22298207879</v>
      </c>
      <c r="G30" s="15">
        <f t="shared" si="4"/>
        <v>0.4761909526052911</v>
      </c>
      <c r="H30" s="61">
        <f t="shared" si="5"/>
        <v>49745.75800458483</v>
      </c>
      <c r="K30">
        <v>2022</v>
      </c>
    </row>
    <row r="31" spans="1:11">
      <c r="A31">
        <v>6</v>
      </c>
      <c r="B31" t="s">
        <v>81</v>
      </c>
      <c r="C31" s="68">
        <v>155445</v>
      </c>
      <c r="D31">
        <f t="shared" si="7"/>
        <v>333995.30969327391</v>
      </c>
      <c r="E31">
        <f t="shared" si="6"/>
        <v>1762.0975768304083</v>
      </c>
      <c r="F31">
        <f t="shared" si="3"/>
        <v>161409.03148427157</v>
      </c>
      <c r="G31" s="15">
        <f t="shared" si="4"/>
        <v>1.2162560912651725</v>
      </c>
      <c r="H31" s="61">
        <f t="shared" si="5"/>
        <v>178550.30969327391</v>
      </c>
      <c r="K31">
        <v>2022</v>
      </c>
    </row>
    <row r="32" spans="1:11">
      <c r="A32">
        <v>7</v>
      </c>
      <c r="B32" t="s">
        <v>82</v>
      </c>
      <c r="C32" s="68">
        <v>180220</v>
      </c>
      <c r="D32">
        <f t="shared" si="7"/>
        <v>281461.3385597138</v>
      </c>
      <c r="E32">
        <f t="shared" si="6"/>
        <v>460.62573064663957</v>
      </c>
      <c r="F32">
        <f t="shared" si="3"/>
        <v>122743.78745898957</v>
      </c>
      <c r="G32" s="15">
        <f t="shared" si="4"/>
        <v>1.6570605526472562</v>
      </c>
      <c r="H32" s="61">
        <f t="shared" si="5"/>
        <v>101241.3385597138</v>
      </c>
      <c r="K32">
        <v>2022</v>
      </c>
    </row>
    <row r="33" spans="1:11">
      <c r="A33">
        <v>8</v>
      </c>
      <c r="B33" t="s">
        <v>83</v>
      </c>
      <c r="C33" s="68">
        <v>143775</v>
      </c>
      <c r="D33">
        <f t="shared" si="7"/>
        <v>135304.10060967496</v>
      </c>
      <c r="E33">
        <f t="shared" si="6"/>
        <v>631.66552224296902</v>
      </c>
      <c r="F33">
        <f t="shared" si="3"/>
        <v>128517.38565438407</v>
      </c>
      <c r="G33" s="15">
        <f t="shared" si="4"/>
        <v>1.1036330350893082</v>
      </c>
      <c r="H33" s="61">
        <f t="shared" si="5"/>
        <v>8470.8993903250375</v>
      </c>
      <c r="K33">
        <v>2022</v>
      </c>
    </row>
    <row r="34" spans="1:11">
      <c r="A34">
        <v>9</v>
      </c>
      <c r="B34" t="s">
        <v>84</v>
      </c>
      <c r="C34" s="68">
        <v>23320</v>
      </c>
      <c r="D34">
        <f t="shared" si="7"/>
        <v>83895.23931635324</v>
      </c>
      <c r="E34">
        <f t="shared" si="6"/>
        <v>-1436.1003851221881</v>
      </c>
      <c r="F34">
        <f t="shared" si="3"/>
        <v>64918.481045300839</v>
      </c>
      <c r="G34" s="15">
        <f t="shared" si="4"/>
        <v>0.57280330095623788</v>
      </c>
      <c r="H34" s="61">
        <f t="shared" si="5"/>
        <v>60575.23931635324</v>
      </c>
      <c r="K34">
        <v>2022</v>
      </c>
    </row>
    <row r="35" spans="1:11">
      <c r="A35">
        <v>10</v>
      </c>
      <c r="B35" t="s">
        <v>85</v>
      </c>
      <c r="C35" s="68">
        <v>164170</v>
      </c>
      <c r="D35">
        <f t="shared" si="7"/>
        <v>82354.055035808051</v>
      </c>
      <c r="E35">
        <f t="shared" si="6"/>
        <v>-37.613181864494209</v>
      </c>
      <c r="F35">
        <f t="shared" si="3"/>
        <v>106923.28954965033</v>
      </c>
      <c r="G35" s="15">
        <f t="shared" si="4"/>
        <v>1.3602512246686711</v>
      </c>
      <c r="H35" s="61">
        <f t="shared" si="5"/>
        <v>81815.944964191949</v>
      </c>
      <c r="K35">
        <v>2022</v>
      </c>
    </row>
    <row r="36" spans="1:11">
      <c r="A36">
        <v>11</v>
      </c>
      <c r="B36" t="s">
        <v>89</v>
      </c>
      <c r="C36" s="68">
        <v>245302</v>
      </c>
      <c r="D36">
        <f t="shared" si="7"/>
        <v>132262.26870441192</v>
      </c>
      <c r="E36">
        <f t="shared" si="6"/>
        <v>1988.048848713813</v>
      </c>
      <c r="F36">
        <f t="shared" si="3"/>
        <v>169808.38277956532</v>
      </c>
      <c r="G36" s="15">
        <f t="shared" si="4"/>
        <v>1.292206460270759</v>
      </c>
      <c r="H36" s="61">
        <f t="shared" si="5"/>
        <v>113039.73129558808</v>
      </c>
      <c r="K36">
        <v>2022</v>
      </c>
    </row>
    <row r="37" spans="1:11">
      <c r="A37">
        <v>12</v>
      </c>
      <c r="B37" t="s">
        <v>90</v>
      </c>
      <c r="C37" s="69">
        <v>148635</v>
      </c>
      <c r="D37">
        <f t="shared" si="7"/>
        <v>166581.10663137419</v>
      </c>
      <c r="E37">
        <f t="shared" si="6"/>
        <v>1577.6454305795949</v>
      </c>
      <c r="F37">
        <f t="shared" si="3"/>
        <v>159048.1580269431</v>
      </c>
      <c r="G37" s="15">
        <f t="shared" si="4"/>
        <v>0.96035578568199198</v>
      </c>
      <c r="H37" s="61">
        <f t="shared" si="5"/>
        <v>17946.10663137419</v>
      </c>
      <c r="K37">
        <v>2022</v>
      </c>
    </row>
    <row r="38" spans="1:11">
      <c r="A38">
        <v>13</v>
      </c>
      <c r="B38" t="s">
        <v>76</v>
      </c>
      <c r="C38" s="68">
        <v>118020</v>
      </c>
      <c r="D38">
        <f t="shared" si="7"/>
        <v>142515.39639785586</v>
      </c>
      <c r="E38">
        <f t="shared" si="6"/>
        <v>965.44965410504881</v>
      </c>
      <c r="F38">
        <f t="shared" si="3"/>
        <v>141609.29698796032</v>
      </c>
      <c r="G38" s="15">
        <f t="shared" si="4"/>
        <v>0.8730142538776674</v>
      </c>
      <c r="H38" s="61">
        <f t="shared" si="5"/>
        <v>24495.39639785586</v>
      </c>
      <c r="K38">
        <v>2023</v>
      </c>
    </row>
    <row r="39" spans="1:11">
      <c r="A39">
        <v>14</v>
      </c>
      <c r="B39" t="s">
        <v>77</v>
      </c>
      <c r="C39" s="68">
        <v>125285</v>
      </c>
      <c r="D39">
        <f t="shared" si="7"/>
        <v>91882.984644234806</v>
      </c>
      <c r="E39">
        <f t="shared" si="6"/>
        <v>2114.7472948357113</v>
      </c>
      <c r="F39">
        <f t="shared" si="3"/>
        <v>178275.1334468674</v>
      </c>
      <c r="G39" s="15">
        <f t="shared" si="4"/>
        <v>0.6598753300560658</v>
      </c>
      <c r="H39" s="61">
        <f t="shared" si="5"/>
        <v>33402.015355765194</v>
      </c>
      <c r="K39">
        <v>2023</v>
      </c>
    </row>
    <row r="40" spans="1:11">
      <c r="A40">
        <v>15</v>
      </c>
      <c r="B40" t="s">
        <v>78</v>
      </c>
      <c r="C40" s="68">
        <v>179225</v>
      </c>
      <c r="D40">
        <f t="shared" si="7"/>
        <v>177575.60405372371</v>
      </c>
      <c r="E40">
        <f t="shared" si="6"/>
        <v>2151.9013415623499</v>
      </c>
      <c r="F40">
        <f t="shared" si="3"/>
        <v>181543.9889487481</v>
      </c>
      <c r="G40" s="15">
        <f t="shared" si="4"/>
        <v>0.98514667681102752</v>
      </c>
      <c r="H40" s="61">
        <f t="shared" si="5"/>
        <v>1649.3959462762868</v>
      </c>
      <c r="K40">
        <v>2023</v>
      </c>
    </row>
    <row r="41" spans="1:11">
      <c r="A41">
        <v>16</v>
      </c>
      <c r="B41" t="s">
        <v>79</v>
      </c>
      <c r="C41" s="68">
        <v>207700</v>
      </c>
      <c r="D41">
        <f t="shared" si="7"/>
        <v>126151.23273004663</v>
      </c>
      <c r="E41">
        <f t="shared" si="6"/>
        <v>4785.0639006254123</v>
      </c>
      <c r="F41">
        <f t="shared" si="3"/>
        <v>265489.2556875546</v>
      </c>
      <c r="G41" s="15">
        <f t="shared" si="4"/>
        <v>0.71202012062430897</v>
      </c>
      <c r="H41" s="61">
        <f t="shared" si="5"/>
        <v>81548.767269953372</v>
      </c>
      <c r="K41">
        <v>2023</v>
      </c>
    </row>
    <row r="42" spans="1:11">
      <c r="A42">
        <v>17</v>
      </c>
      <c r="B42" t="s">
        <v>80</v>
      </c>
      <c r="C42" s="68">
        <v>115720</v>
      </c>
      <c r="D42">
        <f t="shared" si="7"/>
        <v>128702.18570944232</v>
      </c>
      <c r="E42">
        <f t="shared" si="6"/>
        <v>4180.5323009437643</v>
      </c>
      <c r="F42">
        <f t="shared" si="3"/>
        <v>251495.88380313842</v>
      </c>
      <c r="G42" s="15">
        <f t="shared" si="4"/>
        <v>0.4719424744801981</v>
      </c>
      <c r="H42" s="61">
        <f t="shared" si="5"/>
        <v>12982.185709442318</v>
      </c>
      <c r="K42">
        <v>2023</v>
      </c>
    </row>
    <row r="43" spans="1:11">
      <c r="A43">
        <v>18</v>
      </c>
      <c r="B43" t="s">
        <v>81</v>
      </c>
      <c r="C43" s="68">
        <v>152748</v>
      </c>
      <c r="D43">
        <f t="shared" si="7"/>
        <v>310967.99847943883</v>
      </c>
      <c r="E43">
        <f t="shared" si="6"/>
        <v>1295.9118578671205</v>
      </c>
      <c r="F43">
        <f t="shared" si="3"/>
        <v>166072.06823697523</v>
      </c>
      <c r="G43" s="15">
        <f t="shared" si="4"/>
        <v>1.1378443258170305</v>
      </c>
      <c r="H43" s="61">
        <f t="shared" si="5"/>
        <v>158219.99847943883</v>
      </c>
      <c r="K43">
        <v>2023</v>
      </c>
    </row>
    <row r="44" spans="1:11">
      <c r="A44">
        <v>19</v>
      </c>
      <c r="B44" t="s">
        <v>82</v>
      </c>
      <c r="C44" s="68">
        <v>256512</v>
      </c>
      <c r="D44">
        <f t="shared" si="7"/>
        <v>277338.87759141444</v>
      </c>
      <c r="E44">
        <f t="shared" si="6"/>
        <v>1017.2111222409109</v>
      </c>
      <c r="F44">
        <f t="shared" si="3"/>
        <v>158710.75875197677</v>
      </c>
      <c r="G44" s="15">
        <f t="shared" si="4"/>
        <v>1.646260291739734</v>
      </c>
      <c r="H44" s="61">
        <f t="shared" si="5"/>
        <v>20826.877591414435</v>
      </c>
      <c r="K44">
        <v>2023</v>
      </c>
    </row>
    <row r="45" spans="1:11">
      <c r="A45">
        <v>20</v>
      </c>
      <c r="B45" t="s">
        <v>83</v>
      </c>
      <c r="C45" s="68">
        <v>307370</v>
      </c>
      <c r="D45">
        <f t="shared" si="7"/>
        <v>176281.06418093643</v>
      </c>
      <c r="E45">
        <f t="shared" si="6"/>
        <v>3651.0771181021973</v>
      </c>
      <c r="F45">
        <f t="shared" si="3"/>
        <v>241543.18597827558</v>
      </c>
      <c r="G45" s="15">
        <f t="shared" si="4"/>
        <v>1.1483001290248167</v>
      </c>
      <c r="H45" s="61">
        <f t="shared" si="5"/>
        <v>131088.93581906357</v>
      </c>
      <c r="K45">
        <v>2023</v>
      </c>
    </row>
    <row r="46" spans="1:11">
      <c r="A46">
        <v>21</v>
      </c>
      <c r="B46" t="s">
        <v>84</v>
      </c>
      <c r="C46" s="68">
        <v>44365</v>
      </c>
      <c r="D46">
        <f t="shared" si="7"/>
        <v>140448.08327713746</v>
      </c>
      <c r="E46">
        <f t="shared" si="6"/>
        <v>-68.501549096739836</v>
      </c>
      <c r="F46">
        <f t="shared" si="3"/>
        <v>129653.78649236163</v>
      </c>
      <c r="G46" s="15">
        <f t="shared" si="4"/>
        <v>0.51181055632143979</v>
      </c>
      <c r="H46" s="61">
        <f t="shared" si="5"/>
        <v>96083.083277137455</v>
      </c>
      <c r="K46">
        <v>2023</v>
      </c>
    </row>
    <row r="47" spans="1:11">
      <c r="A47">
        <v>22</v>
      </c>
      <c r="B47" t="s">
        <v>85</v>
      </c>
      <c r="C47" s="68">
        <v>259145</v>
      </c>
      <c r="D47">
        <f t="shared" si="7"/>
        <v>176268.54254311477</v>
      </c>
      <c r="E47">
        <f t="shared" si="6"/>
        <v>1282.5265529963519</v>
      </c>
      <c r="F47">
        <f t="shared" si="3"/>
        <v>171551.98192370718</v>
      </c>
      <c r="G47" s="15">
        <f t="shared" si="4"/>
        <v>1.4000117294746954</v>
      </c>
      <c r="H47" s="61">
        <f t="shared" si="5"/>
        <v>82876.457456885226</v>
      </c>
      <c r="K47">
        <v>2023</v>
      </c>
    </row>
    <row r="48" spans="1:11">
      <c r="A48">
        <v>23</v>
      </c>
      <c r="B48" t="s">
        <v>89</v>
      </c>
      <c r="C48" s="68">
        <v>196065</v>
      </c>
      <c r="D48">
        <f>(E47+F47)*G36</f>
        <v>223337.86841131758</v>
      </c>
      <c r="E48">
        <f t="shared" si="6"/>
        <v>814.52074962190954</v>
      </c>
      <c r="F48">
        <f t="shared" si="3"/>
        <v>158296.94430252002</v>
      </c>
      <c r="G48" s="15">
        <f t="shared" si="4"/>
        <v>1.2780265090770806</v>
      </c>
      <c r="H48" s="61">
        <f t="shared" si="5"/>
        <v>27272.868411317584</v>
      </c>
      <c r="K48">
        <v>2023</v>
      </c>
    </row>
    <row r="49" spans="1:11">
      <c r="A49">
        <v>24</v>
      </c>
      <c r="B49" t="s">
        <v>90</v>
      </c>
      <c r="C49" s="69">
        <v>193080</v>
      </c>
      <c r="D49">
        <f>(E48+F48)*G37</f>
        <v>152803.61603116256</v>
      </c>
      <c r="E49">
        <f t="shared" si="6"/>
        <v>1744.4944023949633</v>
      </c>
      <c r="F49">
        <f t="shared" si="3"/>
        <v>187999.03772754184</v>
      </c>
      <c r="G49" s="15">
        <f t="shared" si="4"/>
        <v>0.97798818028854773</v>
      </c>
      <c r="H49" s="61">
        <f t="shared" si="5"/>
        <v>40276.383968837443</v>
      </c>
      <c r="K49">
        <v>2023</v>
      </c>
    </row>
    <row r="50" spans="1:11">
      <c r="C50">
        <f>(E49+F49)*G38</f>
        <v>165648.80813052997</v>
      </c>
      <c r="G50" t="s">
        <v>91</v>
      </c>
      <c r="H50" s="16">
        <f>AVERAGE(H26:H49)</f>
        <v>64541.272930090374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arfolyamok</vt:lpstr>
      <vt:lpstr>form</vt:lpstr>
      <vt:lpstr>tranzakciok</vt:lpstr>
      <vt:lpstr>osszesito</vt:lpstr>
      <vt:lpstr>keszlet</vt:lpstr>
      <vt:lpstr>EUR naplo</vt:lpstr>
      <vt:lpstr>előrejelzés</vt:lpstr>
      <vt:lpstr>adatok</vt:lpstr>
      <vt:lpstr>Számok</vt:lpstr>
      <vt:lpstr>Vétel előrejelzés</vt:lpstr>
      <vt:lpstr>Eladás előrejelzés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Bakk Sarolta</dc:creator>
  <cp:lastModifiedBy>Krisztián Károlyi</cp:lastModifiedBy>
  <dcterms:created xsi:type="dcterms:W3CDTF">2024-04-20T10:08:51Z</dcterms:created>
  <dcterms:modified xsi:type="dcterms:W3CDTF">2024-06-02T17:18:35Z</dcterms:modified>
</cp:coreProperties>
</file>